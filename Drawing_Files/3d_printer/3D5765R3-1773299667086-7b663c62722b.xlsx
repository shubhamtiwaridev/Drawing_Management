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novative\Downloads\"/>
    </mc:Choice>
  </mc:AlternateContent>
  <xr:revisionPtr revIDLastSave="0" documentId="13_ncr:1_{466F202C-EE0C-4BB2-88DF-ADA9AE474C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per boat" sheetId="2" r:id="rId1"/>
    <sheet name="Sheet1" sheetId="1" r:id="rId2"/>
  </sheets>
  <definedNames>
    <definedName name="_xlnm.Print_Area" localSheetId="0">'paper boat'!$A$1:$Q$50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" l="1"/>
  <c r="L19" i="1"/>
  <c r="P19" i="1" s="1"/>
  <c r="N14" i="1"/>
  <c r="L14" i="1"/>
  <c r="P14" i="1" s="1"/>
  <c r="N13" i="1"/>
  <c r="L13" i="1"/>
  <c r="P13" i="1" s="1"/>
  <c r="N12" i="1"/>
  <c r="L12" i="1"/>
  <c r="P12" i="1" s="1"/>
  <c r="N11" i="1"/>
  <c r="L11" i="1"/>
  <c r="P11" i="1" s="1"/>
  <c r="N10" i="1"/>
  <c r="L10" i="1"/>
  <c r="L20" i="1" l="1"/>
  <c r="N20" i="1"/>
  <c r="N37" i="2"/>
  <c r="L37" i="2"/>
  <c r="P38" i="2"/>
  <c r="P10" i="1"/>
  <c r="P21" i="1" s="1"/>
</calcChain>
</file>

<file path=xl/sharedStrings.xml><?xml version="1.0" encoding="utf-8"?>
<sst xmlns="http://schemas.openxmlformats.org/spreadsheetml/2006/main" count="247" uniqueCount="129">
  <si>
    <t>INNOVATIVE RETAIL COUNSULTING PVT. LTD.</t>
  </si>
  <si>
    <t>201/2ND FLOOR NRK HIGH STREET BUILDING OPP INDUSTRY HOUSE OLD PALASIA INDORE , M.P. 452001</t>
  </si>
  <si>
    <t xml:space="preserve">E-mail: </t>
  </si>
  <si>
    <t>store1@decostyle.co.in</t>
  </si>
  <si>
    <t>Contact Name</t>
  </si>
  <si>
    <t>ADIRAJ MARWAH</t>
  </si>
  <si>
    <t>Contact No.:</t>
  </si>
  <si>
    <t xml:space="preserve">GSTIN- </t>
  </si>
  <si>
    <t>23AACCI4410P2ZM</t>
  </si>
  <si>
    <r>
      <t xml:space="preserve">Purchase Order </t>
    </r>
    <r>
      <rPr>
        <b/>
        <sz val="14"/>
        <color rgb="FF333333"/>
        <rFont val="Cambria"/>
        <family val="1"/>
      </rPr>
      <t>No. :</t>
    </r>
  </si>
  <si>
    <t>IR_PO/May-24/31</t>
  </si>
  <si>
    <t xml:space="preserve">Date: </t>
  </si>
  <si>
    <t xml:space="preserve">Delivery Date: </t>
  </si>
  <si>
    <t>3.6.2024</t>
  </si>
  <si>
    <t>Vendor Name :</t>
  </si>
  <si>
    <t>INDRA ENTERPRISES</t>
  </si>
  <si>
    <t>GSTIN- 23DGWPS8173P1Z3</t>
  </si>
  <si>
    <t>DEWAS NAKA INDORE MADHYA RADESH</t>
  </si>
  <si>
    <t>Beat In Charge : vicky rathore</t>
  </si>
  <si>
    <t>Mob No. -  7222902234</t>
  </si>
  <si>
    <t>smventerprises095@gmail.com</t>
  </si>
  <si>
    <t>S. No</t>
  </si>
  <si>
    <t>Company / Brand  Name</t>
  </si>
  <si>
    <t>Item Name</t>
  </si>
  <si>
    <t>Size</t>
  </si>
  <si>
    <t>MRP
Per Size</t>
  </si>
  <si>
    <t>Box
Size</t>
  </si>
  <si>
    <t>Per Box MRP</t>
  </si>
  <si>
    <t>No. of Box Ordered</t>
  </si>
  <si>
    <t>Rate
Without GST</t>
  </si>
  <si>
    <t>Tax</t>
  </si>
  <si>
    <t>Cess</t>
  </si>
  <si>
    <t>Margin %</t>
  </si>
  <si>
    <t xml:space="preserve"> Value</t>
  </si>
  <si>
    <t>SUB TOTAL</t>
  </si>
  <si>
    <t>Grand Total :</t>
  </si>
  <si>
    <t>Conditions to the Party</t>
  </si>
  <si>
    <t>Items will be replaced only if received damage in condition.</t>
  </si>
  <si>
    <t>Terms &amp; Condition:</t>
  </si>
  <si>
    <t>Payment</t>
  </si>
  <si>
    <t>100%  ADVANCE</t>
  </si>
  <si>
    <t>Freight</t>
  </si>
  <si>
    <t>FOR</t>
  </si>
  <si>
    <t>Delivery</t>
  </si>
  <si>
    <t xml:space="preserve">24 HOURS AFTER PAYMENT IS DONE </t>
  </si>
  <si>
    <t>Expiry</t>
  </si>
  <si>
    <t>6 MONTHS FROM THE DATE OF MFG</t>
  </si>
  <si>
    <t>Prepared by</t>
  </si>
  <si>
    <t>Authorized By</t>
  </si>
  <si>
    <t>Bank Details : 
NAME- SMV ENTERPRISES . 
IFSC CODE- KKBK0005951
ACCOUNT NO - 4745034641
BANK - KOTAK MAHINDRA BANK , SHREEMAYA SQUARE BRANCH</t>
  </si>
  <si>
    <t>Payment Requisition</t>
  </si>
  <si>
    <t>Date of Requisition</t>
  </si>
  <si>
    <t>31.5.2024</t>
  </si>
  <si>
    <t>Payment to be Made on</t>
  </si>
  <si>
    <t>31.05.2024</t>
  </si>
  <si>
    <t>Rupees in Digit</t>
  </si>
  <si>
    <t>Rupees in Words</t>
  </si>
  <si>
    <t xml:space="preserve">SIX THOUSAND TWO HUNDRED FIFTY </t>
  </si>
  <si>
    <t>Payment Against Ref.</t>
  </si>
  <si>
    <t>100% advance payment requisition against PO number -IR_PO/May-24/31 Vendor Name - SMV ENTERPRISES date - 31-05-2024</t>
  </si>
  <si>
    <t xml:space="preserve">Mode of Payment </t>
  </si>
  <si>
    <t xml:space="preserve">CASH </t>
  </si>
  <si>
    <t>CHEQUE</t>
  </si>
  <si>
    <t>RTGS</t>
  </si>
  <si>
    <t xml:space="preserve">          Authorised</t>
  </si>
  <si>
    <t>Requisitioned By</t>
  </si>
  <si>
    <t>PEPSI.CO</t>
  </si>
  <si>
    <t>STING RED BOTTLE</t>
  </si>
  <si>
    <t>250ML</t>
  </si>
  <si>
    <t>30PCS</t>
  </si>
  <si>
    <t>STING BLUE BOTTLE</t>
  </si>
  <si>
    <t>TROPICANA SLICE</t>
  </si>
  <si>
    <t xml:space="preserve">PEPSI CAN </t>
  </si>
  <si>
    <t>26PCS</t>
  </si>
  <si>
    <t>MONTAIN DEW CAN</t>
  </si>
  <si>
    <t>7UP NIMBUZZ</t>
  </si>
  <si>
    <t>AQUAFINA</t>
  </si>
  <si>
    <t>GATORADE  BLUE BOLT</t>
  </si>
  <si>
    <t>GATORADE  LEMON</t>
  </si>
  <si>
    <t>GATORADE ORANGE</t>
  </si>
  <si>
    <t xml:space="preserve">Bank Details : 
</t>
  </si>
  <si>
    <r>
      <t xml:space="preserve">Proforma Invoice  </t>
    </r>
    <r>
      <rPr>
        <b/>
        <sz val="14"/>
        <color rgb="FF333333"/>
        <rFont val="Cambria"/>
        <family val="1"/>
      </rPr>
      <t>No. :</t>
    </r>
  </si>
  <si>
    <t xml:space="preserve">Beat In Charge : </t>
  </si>
  <si>
    <t xml:space="preserve">Mob No. -  </t>
  </si>
  <si>
    <t>SHRI HARI ENTERPRISES</t>
  </si>
  <si>
    <t>23ADBFS3832J1Z6</t>
  </si>
  <si>
    <t>Mob No. - 9754023023</t>
  </si>
  <si>
    <t>Contact Person :- ANURUP DONCRIYA</t>
  </si>
  <si>
    <t>Anand bazar GF-05- SBI COLONY INDORE.(M.P.)</t>
  </si>
  <si>
    <t>Paper Boat</t>
  </si>
  <si>
    <t>Apple</t>
  </si>
  <si>
    <t>Mixed fruit</t>
  </si>
  <si>
    <t>Lychee</t>
  </si>
  <si>
    <t>Orange</t>
  </si>
  <si>
    <t>Alphonso Mango</t>
  </si>
  <si>
    <t>Aampanna</t>
  </si>
  <si>
    <t>Chilli Guava</t>
  </si>
  <si>
    <t>Anar</t>
  </si>
  <si>
    <t>150ml</t>
  </si>
  <si>
    <t>250ml</t>
  </si>
  <si>
    <t>Coconut water</t>
  </si>
  <si>
    <t>Basil mixed fruit</t>
  </si>
  <si>
    <t>Basil pomegranate</t>
  </si>
  <si>
    <t>Nata De Coco Lychee</t>
  </si>
  <si>
    <t>Nata De Coco Orange</t>
  </si>
  <si>
    <t>15 Days Credit .</t>
  </si>
  <si>
    <t>Jamun ZERO SUGAR</t>
  </si>
  <si>
    <t>200ml</t>
  </si>
  <si>
    <t>Paper Boat Dairy</t>
  </si>
  <si>
    <t>Southern Masala Buttermilk</t>
  </si>
  <si>
    <t>Coriander Butter Milk</t>
  </si>
  <si>
    <t>Pudina Butter Milk</t>
  </si>
  <si>
    <t>Jeera Butter Milk</t>
  </si>
  <si>
    <t>180ml</t>
  </si>
  <si>
    <t>Paper Boat Foods</t>
  </si>
  <si>
    <t>CHIKKI</t>
  </si>
  <si>
    <t xml:space="preserve">25G </t>
  </si>
  <si>
    <t>DRY FRUIT CHIKKI</t>
  </si>
  <si>
    <t>DRYFOODS &amp; NUTS MIX</t>
  </si>
  <si>
    <t>SMOKED WITH HIMALAYN PINK SALT MIXED NUTS</t>
  </si>
  <si>
    <t>30G</t>
  </si>
  <si>
    <t>PROTIE CRUNCH NUTS SUPER MIX</t>
  </si>
  <si>
    <t>ROSTED WITH WAYAND PEPPER MIXED NUTS</t>
  </si>
  <si>
    <t>CLASSIC SALTED CASHWES</t>
  </si>
  <si>
    <t>18G</t>
  </si>
  <si>
    <t xml:space="preserve"> Jaljeera</t>
  </si>
  <si>
    <t xml:space="preserve">Aamras </t>
  </si>
  <si>
    <t>2..5%</t>
  </si>
  <si>
    <t>lassi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</si>
</sst>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rgb="FF262626"/>
      <name val="Cambria"/>
      <family val="1"/>
    </font>
    <font>
      <b/>
      <sz val="26"/>
      <color rgb="FF262626"/>
      <name val="Cambria"/>
      <family val="1"/>
    </font>
    <font>
      <b/>
      <sz val="18"/>
      <color rgb="FF262626"/>
      <name val="Cambria"/>
      <family val="1"/>
    </font>
    <font>
      <b/>
      <sz val="14"/>
      <color rgb="FF262626"/>
      <name val="Cambria"/>
      <family val="1"/>
    </font>
    <font>
      <u/>
      <sz val="14"/>
      <color theme="10"/>
      <name val="Calibri"/>
      <family val="2"/>
      <scheme val="minor"/>
    </font>
    <font>
      <u/>
      <sz val="14"/>
      <color theme="10"/>
      <name val="Calibri"/>
      <family val="2"/>
      <charset val="134"/>
      <scheme val="minor"/>
    </font>
    <font>
      <sz val="14"/>
      <color theme="1"/>
      <name val="Calibri"/>
      <family val="2"/>
      <scheme val="minor"/>
    </font>
    <font>
      <b/>
      <sz val="14"/>
      <color rgb="FF333333"/>
      <name val="Cambria"/>
      <family val="1"/>
    </font>
    <font>
      <b/>
      <sz val="11"/>
      <color rgb="FF262626"/>
      <name val="Cambria"/>
      <family val="1"/>
    </font>
    <font>
      <sz val="11"/>
      <color rgb="FF262626"/>
      <name val="Cambria"/>
      <family val="1"/>
    </font>
    <font>
      <sz val="10"/>
      <color rgb="FF262626"/>
      <name val="Cambria"/>
      <family val="1"/>
    </font>
    <font>
      <sz val="11"/>
      <color rgb="FF262626"/>
      <name val="Cambria"/>
      <family val="1"/>
    </font>
    <font>
      <u/>
      <sz val="11"/>
      <color theme="10"/>
      <name val="Calibri"/>
      <family val="2"/>
      <charset val="134"/>
      <scheme val="minor"/>
    </font>
    <font>
      <b/>
      <sz val="14"/>
      <color rgb="FF000000"/>
      <name val="Aptos Narrow"/>
      <family val="2"/>
    </font>
    <font>
      <sz val="14"/>
      <color theme="1"/>
      <name val="Aptos Narrow"/>
      <family val="2"/>
    </font>
    <font>
      <sz val="14"/>
      <color rgb="FF000000"/>
      <name val="Cambria"/>
      <family val="1"/>
    </font>
    <font>
      <sz val="18"/>
      <color rgb="FF000000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b/>
      <sz val="22"/>
      <color rgb="FF000000"/>
      <name val="Cambria"/>
      <family val="1"/>
    </font>
    <font>
      <b/>
      <sz val="20"/>
      <color rgb="FF000000"/>
      <name val="Cambria"/>
      <family val="1"/>
    </font>
    <font>
      <b/>
      <sz val="20"/>
      <color rgb="FF000000"/>
      <name val="Calibri"/>
      <family val="2"/>
    </font>
    <font>
      <sz val="20"/>
      <color theme="1"/>
      <name val="Calibri"/>
      <family val="2"/>
      <scheme val="minor"/>
    </font>
    <font>
      <sz val="16"/>
      <color rgb="FF000000"/>
      <name val="Cambria"/>
      <family val="1"/>
    </font>
    <font>
      <sz val="16"/>
      <color theme="1"/>
      <name val="Calibri"/>
      <family val="2"/>
      <scheme val="minor"/>
    </font>
    <font>
      <b/>
      <sz val="16"/>
      <color rgb="FF000000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0"/>
      <color rgb="FF000000"/>
      <name val="Cambria"/>
      <family val="1"/>
    </font>
    <font>
      <sz val="10"/>
      <color rgb="FF000000"/>
      <name val="Cambria"/>
      <family val="1"/>
    </font>
    <font>
      <sz val="20"/>
      <color rgb="FF262626"/>
      <name val="Cambria"/>
      <family val="1"/>
    </font>
    <font>
      <b/>
      <sz val="11"/>
      <color rgb="FF262626"/>
      <name val="Cambria"/>
      <family val="1"/>
    </font>
    <font>
      <sz val="12"/>
      <color rgb="FF00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7">
    <xf numFmtId="0" fontId="0" fillId="0" borderId="0" xfId="0"/>
    <xf numFmtId="0" fontId="6" fillId="4" borderId="10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6" fillId="4" borderId="9" xfId="0" applyFont="1" applyFill="1" applyBorder="1" applyAlignment="1">
      <alignment vertical="center" wrapText="1"/>
    </xf>
    <xf numFmtId="14" fontId="6" fillId="4" borderId="14" xfId="0" applyNumberFormat="1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vertical="center"/>
    </xf>
    <xf numFmtId="0" fontId="16" fillId="0" borderId="2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5" borderId="30" xfId="0" applyFont="1" applyFill="1" applyBorder="1" applyAlignment="1">
      <alignment horizontal="center" vertical="center" wrapText="1"/>
    </xf>
    <xf numFmtId="0" fontId="18" fillId="5" borderId="31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9" fontId="18" fillId="5" borderId="9" xfId="0" applyNumberFormat="1" applyFont="1" applyFill="1" applyBorder="1" applyAlignment="1">
      <alignment horizontal="center" vertical="center" wrapText="1"/>
    </xf>
    <xf numFmtId="2" fontId="18" fillId="5" borderId="9" xfId="0" applyNumberFormat="1" applyFont="1" applyFill="1" applyBorder="1" applyAlignment="1">
      <alignment horizontal="center" vertical="center" wrapText="1"/>
    </xf>
    <xf numFmtId="164" fontId="18" fillId="5" borderId="9" xfId="1" applyNumberFormat="1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1" fontId="20" fillId="6" borderId="15" xfId="0" applyNumberFormat="1" applyFont="1" applyFill="1" applyBorder="1" applyAlignment="1">
      <alignment horizontal="center" vertical="center" wrapText="1"/>
    </xf>
    <xf numFmtId="9" fontId="20" fillId="5" borderId="15" xfId="0" applyNumberFormat="1" applyFont="1" applyFill="1" applyBorder="1" applyAlignment="1">
      <alignment horizontal="center" vertical="center" wrapText="1"/>
    </xf>
    <xf numFmtId="2" fontId="20" fillId="5" borderId="15" xfId="0" applyNumberFormat="1" applyFont="1" applyFill="1" applyBorder="1" applyAlignment="1">
      <alignment horizontal="center" vertical="center" wrapText="1"/>
    </xf>
    <xf numFmtId="1" fontId="21" fillId="0" borderId="14" xfId="0" applyNumberFormat="1" applyFont="1" applyBorder="1" applyAlignment="1">
      <alignment horizontal="center" vertical="center" wrapText="1"/>
    </xf>
    <xf numFmtId="1" fontId="23" fillId="7" borderId="27" xfId="0" applyNumberFormat="1" applyFont="1" applyFill="1" applyBorder="1" applyAlignment="1">
      <alignment horizontal="center" vertical="center" wrapText="1"/>
    </xf>
    <xf numFmtId="0" fontId="24" fillId="3" borderId="36" xfId="0" applyFont="1" applyFill="1" applyBorder="1"/>
    <xf numFmtId="0" fontId="25" fillId="0" borderId="0" xfId="0" applyFont="1"/>
    <xf numFmtId="0" fontId="27" fillId="0" borderId="0" xfId="0" applyFont="1"/>
    <xf numFmtId="0" fontId="26" fillId="0" borderId="30" xfId="0" applyFont="1" applyBorder="1" applyAlignment="1">
      <alignment wrapText="1"/>
    </xf>
    <xf numFmtId="0" fontId="28" fillId="0" borderId="24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8" fillId="0" borderId="30" xfId="0" applyFont="1" applyBorder="1" applyAlignment="1">
      <alignment wrapText="1"/>
    </xf>
    <xf numFmtId="0" fontId="31" fillId="0" borderId="24" xfId="0" applyFont="1" applyBorder="1" applyAlignment="1">
      <alignment vertical="center" wrapText="1"/>
    </xf>
    <xf numFmtId="0" fontId="31" fillId="0" borderId="30" xfId="0" applyFont="1" applyBorder="1" applyAlignment="1">
      <alignment vertical="center" wrapText="1"/>
    </xf>
    <xf numFmtId="0" fontId="31" fillId="0" borderId="10" xfId="0" applyFont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2" fillId="0" borderId="0" xfId="0" applyFont="1" applyAlignment="1">
      <alignment horizontal="center" vertical="center"/>
    </xf>
    <xf numFmtId="0" fontId="31" fillId="0" borderId="12" xfId="0" applyFont="1" applyBorder="1" applyAlignment="1">
      <alignment wrapText="1"/>
    </xf>
    <xf numFmtId="0" fontId="33" fillId="5" borderId="23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33" fillId="5" borderId="15" xfId="0" applyFont="1" applyFill="1" applyBorder="1" applyAlignment="1">
      <alignment horizontal="center" vertical="center" wrapText="1"/>
    </xf>
    <xf numFmtId="0" fontId="34" fillId="5" borderId="15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37" fillId="5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7" fillId="4" borderId="9" xfId="2" applyFont="1" applyFill="1" applyBorder="1" applyAlignment="1">
      <alignment vertical="center" wrapText="1"/>
    </xf>
    <xf numFmtId="0" fontId="8" fillId="4" borderId="8" xfId="2" applyFont="1" applyFill="1" applyBorder="1" applyAlignment="1">
      <alignment vertical="center" wrapText="1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2" fillId="4" borderId="25" xfId="2" applyFill="1" applyBorder="1" applyAlignment="1">
      <alignment vertical="center" wrapText="1"/>
    </xf>
    <xf numFmtId="0" fontId="15" fillId="4" borderId="26" xfId="2" applyFont="1" applyFill="1" applyBorder="1" applyAlignment="1">
      <alignment vertical="center" wrapText="1"/>
    </xf>
    <xf numFmtId="0" fontId="15" fillId="4" borderId="27" xfId="2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14" fontId="6" fillId="4" borderId="15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vertical="center" wrapText="1"/>
    </xf>
    <xf numFmtId="0" fontId="6" fillId="4" borderId="19" xfId="0" applyFont="1" applyFill="1" applyBorder="1" applyAlignment="1">
      <alignment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vertical="center" wrapText="1"/>
    </xf>
    <xf numFmtId="0" fontId="35" fillId="0" borderId="5" xfId="0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6" fillId="0" borderId="7" xfId="0" applyFont="1" applyBorder="1" applyAlignment="1">
      <alignment vertical="center" wrapText="1"/>
    </xf>
    <xf numFmtId="0" fontId="36" fillId="0" borderId="24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2" fillId="4" borderId="9" xfId="2" applyFill="1" applyBorder="1" applyAlignment="1">
      <alignment vertical="center" wrapText="1"/>
    </xf>
    <xf numFmtId="0" fontId="15" fillId="4" borderId="24" xfId="2" applyFont="1" applyFill="1" applyBorder="1" applyAlignment="1">
      <alignment vertical="center" wrapText="1"/>
    </xf>
    <xf numFmtId="0" fontId="15" fillId="4" borderId="29" xfId="2" applyFont="1" applyFill="1" applyBorder="1" applyAlignment="1">
      <alignment vertical="center" wrapText="1"/>
    </xf>
    <xf numFmtId="0" fontId="26" fillId="0" borderId="9" xfId="0" applyFont="1" applyBorder="1" applyAlignment="1">
      <alignment wrapText="1"/>
    </xf>
    <xf numFmtId="0" fontId="26" fillId="0" borderId="24" xfId="0" applyFont="1" applyBorder="1" applyAlignment="1">
      <alignment wrapText="1"/>
    </xf>
    <xf numFmtId="0" fontId="26" fillId="0" borderId="29" xfId="0" applyFont="1" applyBorder="1" applyAlignment="1">
      <alignment wrapText="1"/>
    </xf>
    <xf numFmtId="0" fontId="16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33" xfId="0" applyFont="1" applyFill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right" vertical="center" wrapText="1"/>
    </xf>
    <xf numFmtId="0" fontId="22" fillId="5" borderId="16" xfId="0" applyFont="1" applyFill="1" applyBorder="1" applyAlignment="1">
      <alignment horizontal="right" vertical="center" wrapText="1"/>
    </xf>
    <xf numFmtId="0" fontId="22" fillId="5" borderId="17" xfId="0" applyFont="1" applyFill="1" applyBorder="1" applyAlignment="1">
      <alignment horizontal="right" vertical="center" wrapText="1"/>
    </xf>
    <xf numFmtId="0" fontId="23" fillId="5" borderId="34" xfId="0" applyFont="1" applyFill="1" applyBorder="1" applyAlignment="1">
      <alignment wrapText="1"/>
    </xf>
    <xf numFmtId="0" fontId="23" fillId="5" borderId="0" xfId="0" applyFont="1" applyFill="1" applyAlignment="1">
      <alignment wrapText="1"/>
    </xf>
    <xf numFmtId="0" fontId="23" fillId="5" borderId="35" xfId="0" applyFont="1" applyFill="1" applyBorder="1" applyAlignment="1">
      <alignment wrapText="1"/>
    </xf>
    <xf numFmtId="0" fontId="24" fillId="0" borderId="1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6" fillId="8" borderId="37" xfId="0" applyFont="1" applyFill="1" applyBorder="1" applyAlignment="1">
      <alignment wrapText="1"/>
    </xf>
    <xf numFmtId="0" fontId="26" fillId="8" borderId="26" xfId="0" applyFont="1" applyFill="1" applyBorder="1" applyAlignment="1">
      <alignment wrapText="1"/>
    </xf>
    <xf numFmtId="0" fontId="26" fillId="8" borderId="27" xfId="0" applyFont="1" applyFill="1" applyBorder="1" applyAlignment="1">
      <alignment wrapText="1"/>
    </xf>
    <xf numFmtId="0" fontId="13" fillId="0" borderId="7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9" fillId="0" borderId="7" xfId="0" applyFont="1" applyBorder="1" applyAlignment="1">
      <alignment wrapText="1"/>
    </xf>
    <xf numFmtId="0" fontId="29" fillId="0" borderId="24" xfId="0" applyFont="1" applyBorder="1" applyAlignment="1">
      <alignment wrapText="1"/>
    </xf>
    <xf numFmtId="0" fontId="29" fillId="0" borderId="29" xfId="0" applyFont="1" applyBorder="1" applyAlignment="1">
      <alignment wrapText="1"/>
    </xf>
    <xf numFmtId="0" fontId="19" fillId="0" borderId="7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8" fillId="0" borderId="9" xfId="0" applyFont="1" applyBorder="1" applyAlignment="1">
      <alignment wrapText="1"/>
    </xf>
    <xf numFmtId="0" fontId="18" fillId="0" borderId="24" xfId="0" applyFont="1" applyBorder="1" applyAlignment="1">
      <alignment wrapText="1"/>
    </xf>
    <xf numFmtId="0" fontId="31" fillId="0" borderId="18" xfId="0" applyFont="1" applyBorder="1" applyAlignment="1">
      <alignment wrapText="1"/>
    </xf>
    <xf numFmtId="0" fontId="31" fillId="0" borderId="5" xfId="0" applyFont="1" applyBorder="1" applyAlignment="1">
      <alignment wrapText="1"/>
    </xf>
    <xf numFmtId="0" fontId="31" fillId="0" borderId="6" xfId="0" applyFont="1" applyBorder="1" applyAlignment="1">
      <alignment wrapText="1"/>
    </xf>
    <xf numFmtId="0" fontId="30" fillId="9" borderId="7" xfId="0" applyFont="1" applyFill="1" applyBorder="1" applyAlignment="1">
      <alignment wrapText="1"/>
    </xf>
    <xf numFmtId="0" fontId="30" fillId="9" borderId="24" xfId="0" applyFont="1" applyFill="1" applyBorder="1" applyAlignment="1">
      <alignment wrapText="1"/>
    </xf>
    <xf numFmtId="0" fontId="30" fillId="9" borderId="29" xfId="0" applyFont="1" applyFill="1" applyBorder="1" applyAlignment="1">
      <alignment wrapText="1"/>
    </xf>
    <xf numFmtId="0" fontId="18" fillId="0" borderId="25" xfId="0" applyFont="1" applyBorder="1" applyAlignment="1">
      <alignment wrapText="1"/>
    </xf>
    <xf numFmtId="0" fontId="18" fillId="0" borderId="26" xfId="0" applyFont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24" xfId="0" applyFont="1" applyBorder="1" applyAlignment="1">
      <alignment wrapText="1"/>
    </xf>
    <xf numFmtId="0" fontId="31" fillId="0" borderId="29" xfId="0" applyFont="1" applyBorder="1" applyAlignment="1">
      <alignment wrapText="1"/>
    </xf>
    <xf numFmtId="3" fontId="31" fillId="0" borderId="18" xfId="0" applyNumberFormat="1" applyFont="1" applyBorder="1" applyAlignment="1">
      <alignment horizontal="left" wrapText="1"/>
    </xf>
    <xf numFmtId="0" fontId="31" fillId="0" borderId="5" xfId="0" applyFont="1" applyBorder="1" applyAlignment="1">
      <alignment horizontal="left" wrapText="1"/>
    </xf>
    <xf numFmtId="0" fontId="31" fillId="0" borderId="6" xfId="0" applyFont="1" applyBorder="1" applyAlignment="1">
      <alignment horizontal="left" wrapText="1"/>
    </xf>
    <xf numFmtId="0" fontId="18" fillId="0" borderId="9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31" fillId="0" borderId="9" xfId="0" applyFont="1" applyBorder="1" applyAlignment="1">
      <alignment vertical="center" wrapText="1"/>
    </xf>
    <xf numFmtId="0" fontId="31" fillId="0" borderId="24" xfId="0" applyFont="1" applyBorder="1" applyAlignment="1">
      <alignment vertical="center" wrapText="1"/>
    </xf>
    <xf numFmtId="0" fontId="31" fillId="0" borderId="29" xfId="0" applyFont="1" applyBorder="1" applyAlignment="1">
      <alignment vertical="center" wrapText="1"/>
    </xf>
    <xf numFmtId="0" fontId="31" fillId="9" borderId="7" xfId="0" applyFont="1" applyFill="1" applyBorder="1" applyAlignment="1">
      <alignment wrapText="1"/>
    </xf>
    <xf numFmtId="0" fontId="31" fillId="9" borderId="24" xfId="0" applyFont="1" applyFill="1" applyBorder="1" applyAlignment="1">
      <alignment wrapText="1"/>
    </xf>
    <xf numFmtId="0" fontId="31" fillId="9" borderId="29" xfId="0" applyFont="1" applyFill="1" applyBorder="1" applyAlignment="1">
      <alignment wrapText="1"/>
    </xf>
    <xf numFmtId="0" fontId="31" fillId="0" borderId="8" xfId="0" applyFont="1" applyBorder="1" applyAlignment="1">
      <alignment vertical="center" wrapText="1"/>
    </xf>
    <xf numFmtId="0" fontId="31" fillId="0" borderId="32" xfId="0" applyFont="1" applyBorder="1" applyAlignment="1">
      <alignment wrapText="1"/>
    </xf>
    <xf numFmtId="0" fontId="31" fillId="0" borderId="12" xfId="0" applyFont="1" applyBorder="1" applyAlignment="1">
      <alignment wrapText="1"/>
    </xf>
    <xf numFmtId="0" fontId="31" fillId="0" borderId="13" xfId="0" applyFont="1" applyBorder="1" applyAlignment="1">
      <alignment wrapText="1"/>
    </xf>
    <xf numFmtId="0" fontId="31" fillId="0" borderId="11" xfId="0" applyFont="1" applyBorder="1" applyAlignment="1">
      <alignment wrapText="1"/>
    </xf>
    <xf numFmtId="0" fontId="31" fillId="0" borderId="33" xfId="0" applyFont="1" applyBorder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410870</xdr:colOff>
      <xdr:row>0</xdr:row>
      <xdr:rowOff>63500</xdr:rowOff>
    </xdr:from>
    <xdr:to>
      <xdr:col>15</xdr:col>
      <xdr:colOff>420357</xdr:colOff>
      <xdr:row>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94426-C706-434E-8250-52F2BB136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8345" y="63500"/>
          <a:ext cx="3000337" cy="1222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84299</xdr:colOff>
      <xdr:row>0</xdr:row>
      <xdr:rowOff>40822</xdr:rowOff>
    </xdr:from>
    <xdr:to>
      <xdr:col>15</xdr:col>
      <xdr:colOff>1537606</xdr:colOff>
      <xdr:row>11</xdr:row>
      <xdr:rowOff>107497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957D63-91C8-4E76-91DD-0F7294F3B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1774" y="40822"/>
          <a:ext cx="4444157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ore1@decostyle.co.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smventerprises095@gmail.com" TargetMode="External"/><Relationship Id="rId1" Type="http://schemas.openxmlformats.org/officeDocument/2006/relationships/hyperlink" Target="mailto:store1@decostyle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50"/>
  <sheetViews>
    <sheetView showGridLines="0" tabSelected="1" zoomScale="59" zoomScaleNormal="59" zoomScaleSheetLayoutView="55" workbookViewId="0">
      <selection activeCell="M13" sqref="M13"/>
    </sheetView>
  </sheetViews>
  <sheetFormatPr defaultRowHeight="15"/>
  <cols>
    <col min="2" max="2" width="9.42578125" bestFit="1" customWidth="1"/>
    <col min="3" max="3" width="13.28515625" customWidth="1"/>
    <col min="4" max="4" width="18" customWidth="1"/>
    <col min="5" max="5" width="12.7109375" customWidth="1"/>
    <col min="6" max="6" width="13.85546875" customWidth="1"/>
    <col min="7" max="8" width="9.42578125" bestFit="1" customWidth="1"/>
    <col min="9" max="9" width="10.28515625" customWidth="1"/>
    <col min="10" max="10" width="15.7109375" customWidth="1"/>
    <col min="11" max="11" width="15.85546875" customWidth="1"/>
    <col min="12" max="12" width="17" customWidth="1"/>
    <col min="13" max="13" width="15.42578125" customWidth="1"/>
    <col min="14" max="14" width="16.42578125" customWidth="1"/>
    <col min="15" max="15" width="13" customWidth="1"/>
    <col min="16" max="16" width="25.28515625" customWidth="1"/>
  </cols>
  <sheetData>
    <row r="1" spans="2:16" ht="93.75" customHeight="1" thickBot="1">
      <c r="B1" s="45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2:16" ht="73.5" customHeight="1" thickBot="1">
      <c r="B2" s="48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</row>
    <row r="3" spans="2:16" s="3" customFormat="1" ht="48.75" customHeight="1" thickBot="1">
      <c r="B3" s="51" t="s">
        <v>2</v>
      </c>
      <c r="C3" s="52"/>
      <c r="D3" s="53" t="s">
        <v>3</v>
      </c>
      <c r="E3" s="54"/>
      <c r="F3" s="1" t="s">
        <v>4</v>
      </c>
      <c r="G3" s="55" t="s">
        <v>5</v>
      </c>
      <c r="H3" s="56"/>
      <c r="I3" s="56"/>
      <c r="J3" s="56"/>
      <c r="K3" s="57"/>
      <c r="L3" s="58" t="s">
        <v>6</v>
      </c>
      <c r="M3" s="59"/>
      <c r="N3" s="58" t="s">
        <v>7</v>
      </c>
      <c r="O3" s="59"/>
      <c r="P3" s="2" t="s">
        <v>8</v>
      </c>
    </row>
    <row r="4" spans="2:16" s="3" customFormat="1" ht="48.75" customHeight="1" thickBot="1">
      <c r="B4" s="51" t="s">
        <v>81</v>
      </c>
      <c r="C4" s="52"/>
      <c r="D4" s="65"/>
      <c r="E4" s="52"/>
      <c r="F4" s="4" t="s">
        <v>11</v>
      </c>
      <c r="G4" s="66"/>
      <c r="H4" s="67"/>
      <c r="I4" s="67"/>
      <c r="J4" s="67"/>
      <c r="K4" s="68"/>
      <c r="L4" s="69"/>
      <c r="M4" s="59"/>
      <c r="N4" s="70" t="s">
        <v>12</v>
      </c>
      <c r="O4" s="71"/>
      <c r="P4" s="5"/>
    </row>
    <row r="5" spans="2:16" s="7" customFormat="1" ht="48.75" customHeight="1" thickBot="1">
      <c r="B5" s="51" t="s">
        <v>14</v>
      </c>
      <c r="C5" s="52"/>
      <c r="D5" s="72" t="s">
        <v>84</v>
      </c>
      <c r="E5" s="73"/>
      <c r="F5" s="73"/>
      <c r="G5" s="73"/>
      <c r="H5" s="73"/>
      <c r="I5" s="73"/>
      <c r="J5" s="73"/>
      <c r="K5" s="73"/>
      <c r="L5" s="73"/>
      <c r="M5" s="74"/>
      <c r="N5" s="75" t="s">
        <v>7</v>
      </c>
      <c r="O5" s="68"/>
      <c r="P5" s="42" t="s">
        <v>85</v>
      </c>
    </row>
    <row r="6" spans="2:16" ht="57.75" customHeight="1" thickBot="1">
      <c r="B6" s="76" t="s">
        <v>88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8"/>
      <c r="O6" s="78"/>
      <c r="P6" s="79"/>
    </row>
    <row r="7" spans="2:16" s="8" customFormat="1" ht="32.25" customHeight="1" thickBot="1">
      <c r="B7" s="80" t="s">
        <v>87</v>
      </c>
      <c r="C7" s="81"/>
      <c r="D7" s="81"/>
      <c r="E7" s="82"/>
      <c r="F7" s="60" t="s">
        <v>86</v>
      </c>
      <c r="G7" s="83"/>
      <c r="H7" s="83"/>
      <c r="I7" s="83"/>
      <c r="J7" s="83"/>
      <c r="K7" s="61"/>
      <c r="L7" s="60" t="s">
        <v>2</v>
      </c>
      <c r="M7" s="61"/>
      <c r="N7" s="84"/>
      <c r="O7" s="85"/>
      <c r="P7" s="86"/>
    </row>
    <row r="8" spans="2:16" s="8" customFormat="1" ht="33" customHeight="1" thickBot="1">
      <c r="B8" s="107" t="s">
        <v>82</v>
      </c>
      <c r="C8" s="108"/>
      <c r="D8" s="108"/>
      <c r="E8" s="109"/>
      <c r="F8" s="60" t="s">
        <v>83</v>
      </c>
      <c r="G8" s="83"/>
      <c r="H8" s="83"/>
      <c r="I8" s="83"/>
      <c r="J8" s="83"/>
      <c r="K8" s="61"/>
      <c r="L8" s="60" t="s">
        <v>2</v>
      </c>
      <c r="M8" s="61"/>
      <c r="N8" s="62"/>
      <c r="O8" s="63"/>
      <c r="P8" s="64"/>
    </row>
    <row r="9" spans="2:16" s="12" customFormat="1" ht="54" customHeight="1" thickBot="1">
      <c r="B9" s="9" t="s">
        <v>21</v>
      </c>
      <c r="C9" s="10" t="s">
        <v>22</v>
      </c>
      <c r="D9" s="10" t="s">
        <v>23</v>
      </c>
      <c r="E9" s="10" t="s">
        <v>24</v>
      </c>
      <c r="F9" s="10" t="s">
        <v>25</v>
      </c>
      <c r="G9" s="10" t="s">
        <v>26</v>
      </c>
      <c r="H9" s="10" t="s">
        <v>27</v>
      </c>
      <c r="I9" s="10" t="s">
        <v>28</v>
      </c>
      <c r="J9" s="10" t="s">
        <v>29</v>
      </c>
      <c r="K9" s="90" t="s">
        <v>30</v>
      </c>
      <c r="L9" s="91"/>
      <c r="M9" s="90" t="s">
        <v>31</v>
      </c>
      <c r="N9" s="91"/>
      <c r="O9" s="10" t="s">
        <v>32</v>
      </c>
      <c r="P9" s="11" t="s">
        <v>33</v>
      </c>
    </row>
    <row r="10" spans="2:16" s="7" customFormat="1" ht="61.5" customHeight="1" thickBot="1">
      <c r="B10" s="13">
        <v>1</v>
      </c>
      <c r="C10" s="14" t="s">
        <v>89</v>
      </c>
      <c r="D10" s="15" t="s">
        <v>90</v>
      </c>
      <c r="E10" s="15" t="s">
        <v>98</v>
      </c>
      <c r="F10" s="15">
        <v>20</v>
      </c>
      <c r="G10" s="15">
        <v>45</v>
      </c>
      <c r="H10" s="15">
        <v>900</v>
      </c>
      <c r="I10" s="15">
        <v>1</v>
      </c>
      <c r="J10" s="15">
        <v>13.4</v>
      </c>
      <c r="K10" s="16">
        <v>0.06</v>
      </c>
      <c r="L10" s="17">
        <v>6</v>
      </c>
      <c r="M10" s="16"/>
      <c r="N10" s="17"/>
      <c r="O10" s="18">
        <v>0.25</v>
      </c>
      <c r="P10" s="19">
        <v>675</v>
      </c>
    </row>
    <row r="11" spans="2:16" s="7" customFormat="1" ht="61.5" customHeight="1" thickBot="1">
      <c r="B11" s="13">
        <v>2</v>
      </c>
      <c r="C11" s="14" t="s">
        <v>89</v>
      </c>
      <c r="D11" s="15" t="s">
        <v>91</v>
      </c>
      <c r="E11" s="15" t="s">
        <v>98</v>
      </c>
      <c r="F11" s="15">
        <v>20</v>
      </c>
      <c r="G11" s="15">
        <v>45</v>
      </c>
      <c r="H11" s="15">
        <v>900</v>
      </c>
      <c r="I11" s="15">
        <v>1</v>
      </c>
      <c r="J11" s="15">
        <v>13.4</v>
      </c>
      <c r="K11" s="16">
        <v>0.06</v>
      </c>
      <c r="L11" s="17">
        <v>6</v>
      </c>
      <c r="M11" s="16"/>
      <c r="N11" s="17"/>
      <c r="O11" s="18">
        <v>0.25</v>
      </c>
      <c r="P11" s="19">
        <v>675</v>
      </c>
    </row>
    <row r="12" spans="2:16" s="7" customFormat="1" ht="61.5" customHeight="1" thickBot="1">
      <c r="B12" s="13">
        <v>3</v>
      </c>
      <c r="C12" s="14" t="s">
        <v>89</v>
      </c>
      <c r="D12" s="15" t="s">
        <v>92</v>
      </c>
      <c r="E12" s="15" t="s">
        <v>98</v>
      </c>
      <c r="F12" s="15">
        <v>20</v>
      </c>
      <c r="G12" s="15">
        <v>45</v>
      </c>
      <c r="H12" s="15">
        <v>900</v>
      </c>
      <c r="I12" s="15">
        <v>1</v>
      </c>
      <c r="J12" s="15">
        <v>13.4</v>
      </c>
      <c r="K12" s="16">
        <v>0.06</v>
      </c>
      <c r="L12" s="17">
        <v>6</v>
      </c>
      <c r="M12" s="16"/>
      <c r="N12" s="17"/>
      <c r="O12" s="18">
        <v>0.25</v>
      </c>
      <c r="P12" s="19">
        <v>675</v>
      </c>
    </row>
    <row r="13" spans="2:16" s="7" customFormat="1" ht="61.5" customHeight="1" thickBot="1">
      <c r="B13" s="13">
        <v>4</v>
      </c>
      <c r="C13" s="14" t="s">
        <v>89</v>
      </c>
      <c r="D13" s="15" t="s">
        <v>93</v>
      </c>
      <c r="E13" s="15" t="s">
        <v>98</v>
      </c>
      <c r="F13" s="15">
        <v>20</v>
      </c>
      <c r="G13" s="15">
        <v>45</v>
      </c>
      <c r="H13" s="15">
        <v>900</v>
      </c>
      <c r="I13" s="15">
        <v>1</v>
      </c>
      <c r="J13" s="15">
        <v>13.4</v>
      </c>
      <c r="K13" s="16">
        <v>0.06</v>
      </c>
      <c r="L13" s="17">
        <v>6</v>
      </c>
      <c r="M13" s="16"/>
      <c r="N13" s="17"/>
      <c r="O13" s="18">
        <v>0.25</v>
      </c>
      <c r="P13" s="19">
        <v>675</v>
      </c>
    </row>
    <row r="14" spans="2:16" s="7" customFormat="1" ht="61.5" customHeight="1" thickBot="1">
      <c r="B14" s="13">
        <v>5</v>
      </c>
      <c r="C14" s="14" t="s">
        <v>89</v>
      </c>
      <c r="D14" s="15" t="s">
        <v>94</v>
      </c>
      <c r="E14" s="15" t="s">
        <v>98</v>
      </c>
      <c r="F14" s="15">
        <v>20</v>
      </c>
      <c r="G14" s="15">
        <v>45</v>
      </c>
      <c r="H14" s="15">
        <v>900</v>
      </c>
      <c r="I14" s="15">
        <v>1</v>
      </c>
      <c r="J14" s="15">
        <v>13.4</v>
      </c>
      <c r="K14" s="16">
        <v>0.06</v>
      </c>
      <c r="L14" s="17">
        <v>6</v>
      </c>
      <c r="M14" s="16"/>
      <c r="N14" s="17"/>
      <c r="O14" s="18">
        <v>0.25</v>
      </c>
      <c r="P14" s="19">
        <v>675</v>
      </c>
    </row>
    <row r="15" spans="2:16" s="7" customFormat="1" ht="61.5" customHeight="1" thickBot="1">
      <c r="B15" s="13">
        <v>6</v>
      </c>
      <c r="C15" s="14" t="s">
        <v>89</v>
      </c>
      <c r="D15" s="15" t="s">
        <v>125</v>
      </c>
      <c r="E15" s="15" t="s">
        <v>98</v>
      </c>
      <c r="F15" s="15">
        <v>20</v>
      </c>
      <c r="G15" s="15">
        <v>45</v>
      </c>
      <c r="H15" s="15">
        <v>900</v>
      </c>
      <c r="I15" s="15">
        <v>1</v>
      </c>
      <c r="J15" s="15">
        <v>13.4</v>
      </c>
      <c r="K15" s="16">
        <v>0.06</v>
      </c>
      <c r="L15" s="17">
        <v>6</v>
      </c>
      <c r="M15" s="16"/>
      <c r="N15" s="17"/>
      <c r="O15" s="18">
        <v>0.25</v>
      </c>
      <c r="P15" s="19">
        <v>675</v>
      </c>
    </row>
    <row r="16" spans="2:16" s="7" customFormat="1" ht="61.5" customHeight="1" thickBot="1">
      <c r="B16" s="13">
        <v>7</v>
      </c>
      <c r="C16" s="14" t="s">
        <v>89</v>
      </c>
      <c r="D16" s="15" t="s">
        <v>126</v>
      </c>
      <c r="E16" s="15" t="s">
        <v>98</v>
      </c>
      <c r="F16" s="15">
        <v>20</v>
      </c>
      <c r="G16" s="15">
        <v>45</v>
      </c>
      <c r="H16" s="15">
        <v>900</v>
      </c>
      <c r="I16" s="15">
        <v>1</v>
      </c>
      <c r="J16" s="15">
        <v>13.4</v>
      </c>
      <c r="K16" s="16">
        <v>0.06</v>
      </c>
      <c r="L16" s="17">
        <v>6</v>
      </c>
      <c r="M16" s="16"/>
      <c r="N16" s="17"/>
      <c r="O16" s="18">
        <v>0.25</v>
      </c>
      <c r="P16" s="19">
        <v>675</v>
      </c>
    </row>
    <row r="17" spans="2:16" s="7" customFormat="1" ht="61.5" customHeight="1" thickBot="1">
      <c r="B17" s="13">
        <v>8</v>
      </c>
      <c r="C17" s="14" t="s">
        <v>89</v>
      </c>
      <c r="D17" s="15" t="s">
        <v>95</v>
      </c>
      <c r="E17" s="15" t="s">
        <v>98</v>
      </c>
      <c r="F17" s="15">
        <v>20</v>
      </c>
      <c r="G17" s="15">
        <v>45</v>
      </c>
      <c r="H17" s="15">
        <v>900</v>
      </c>
      <c r="I17" s="15">
        <v>1</v>
      </c>
      <c r="J17" s="15">
        <v>13.4</v>
      </c>
      <c r="K17" s="16">
        <v>0.06</v>
      </c>
      <c r="L17" s="17">
        <v>6</v>
      </c>
      <c r="M17" s="16"/>
      <c r="N17" s="17"/>
      <c r="O17" s="18">
        <v>0.25</v>
      </c>
      <c r="P17" s="19">
        <v>675</v>
      </c>
    </row>
    <row r="18" spans="2:16" s="7" customFormat="1" ht="61.5" customHeight="1" thickBot="1">
      <c r="B18" s="13">
        <v>9</v>
      </c>
      <c r="C18" s="14" t="s">
        <v>89</v>
      </c>
      <c r="D18" s="15" t="s">
        <v>96</v>
      </c>
      <c r="E18" s="15" t="s">
        <v>98</v>
      </c>
      <c r="F18" s="15">
        <v>20</v>
      </c>
      <c r="G18" s="15">
        <v>45</v>
      </c>
      <c r="H18" s="15">
        <v>900</v>
      </c>
      <c r="I18" s="15">
        <v>1</v>
      </c>
      <c r="J18" s="15">
        <v>13.4</v>
      </c>
      <c r="K18" s="16">
        <v>0.06</v>
      </c>
      <c r="L18" s="17">
        <v>6</v>
      </c>
      <c r="M18" s="16"/>
      <c r="N18" s="17"/>
      <c r="O18" s="18">
        <v>0.25</v>
      </c>
      <c r="P18" s="19">
        <v>675</v>
      </c>
    </row>
    <row r="19" spans="2:16" s="7" customFormat="1" ht="61.5" customHeight="1" thickBot="1">
      <c r="B19" s="13">
        <v>10</v>
      </c>
      <c r="C19" s="14" t="s">
        <v>89</v>
      </c>
      <c r="D19" s="15" t="s">
        <v>97</v>
      </c>
      <c r="E19" s="15" t="s">
        <v>98</v>
      </c>
      <c r="F19" s="15">
        <v>25</v>
      </c>
      <c r="G19" s="15">
        <v>45</v>
      </c>
      <c r="H19" s="15">
        <v>1125</v>
      </c>
      <c r="I19" s="15">
        <v>1</v>
      </c>
      <c r="J19" s="15">
        <v>16.75</v>
      </c>
      <c r="K19" s="16">
        <v>0.06</v>
      </c>
      <c r="L19" s="17">
        <v>6</v>
      </c>
      <c r="M19" s="16"/>
      <c r="N19" s="17"/>
      <c r="O19" s="18">
        <v>0.25</v>
      </c>
      <c r="P19" s="19">
        <v>843.75</v>
      </c>
    </row>
    <row r="20" spans="2:16" s="7" customFormat="1" ht="61.5" customHeight="1" thickBot="1">
      <c r="B20" s="13">
        <v>11</v>
      </c>
      <c r="C20" s="14" t="s">
        <v>89</v>
      </c>
      <c r="D20" s="15" t="s">
        <v>100</v>
      </c>
      <c r="E20" s="15" t="s">
        <v>99</v>
      </c>
      <c r="F20" s="15">
        <v>20</v>
      </c>
      <c r="G20" s="15">
        <v>30</v>
      </c>
      <c r="H20" s="15">
        <v>600</v>
      </c>
      <c r="I20" s="15">
        <v>1</v>
      </c>
      <c r="J20" s="15">
        <v>13.39</v>
      </c>
      <c r="K20" s="16">
        <v>0.06</v>
      </c>
      <c r="L20" s="17">
        <v>6</v>
      </c>
      <c r="M20" s="16"/>
      <c r="N20" s="17"/>
      <c r="O20" s="18">
        <v>0.25</v>
      </c>
      <c r="P20" s="19">
        <v>450</v>
      </c>
    </row>
    <row r="21" spans="2:16" s="7" customFormat="1" ht="61.5" hidden="1" customHeight="1" thickBot="1">
      <c r="B21" s="13">
        <v>12</v>
      </c>
      <c r="C21" s="14" t="s">
        <v>89</v>
      </c>
      <c r="D21" s="15" t="s">
        <v>101</v>
      </c>
      <c r="E21" s="15" t="s">
        <v>99</v>
      </c>
      <c r="F21" s="15">
        <v>35</v>
      </c>
      <c r="G21" s="15">
        <v>24</v>
      </c>
      <c r="H21" s="15">
        <v>840</v>
      </c>
      <c r="I21" s="15">
        <v>1</v>
      </c>
      <c r="J21" s="15">
        <v>23.44</v>
      </c>
      <c r="K21" s="16">
        <v>0.06</v>
      </c>
      <c r="L21" s="17">
        <v>6</v>
      </c>
      <c r="M21" s="16"/>
      <c r="N21" s="17"/>
      <c r="O21" s="18">
        <v>0.25</v>
      </c>
      <c r="P21" s="19">
        <v>630</v>
      </c>
    </row>
    <row r="22" spans="2:16" s="7" customFormat="1" ht="61.5" hidden="1" customHeight="1" thickBot="1">
      <c r="B22" s="13">
        <v>13</v>
      </c>
      <c r="C22" s="14" t="s">
        <v>89</v>
      </c>
      <c r="D22" s="15" t="s">
        <v>102</v>
      </c>
      <c r="E22" s="15" t="s">
        <v>99</v>
      </c>
      <c r="F22" s="15">
        <v>35</v>
      </c>
      <c r="G22" s="15">
        <v>24</v>
      </c>
      <c r="H22" s="15">
        <v>840</v>
      </c>
      <c r="I22" s="15">
        <v>1</v>
      </c>
      <c r="J22" s="15">
        <v>23.44</v>
      </c>
      <c r="K22" s="16">
        <v>0.06</v>
      </c>
      <c r="L22" s="17">
        <v>6</v>
      </c>
      <c r="M22" s="16"/>
      <c r="N22" s="17"/>
      <c r="O22" s="18">
        <v>0.25</v>
      </c>
      <c r="P22" s="19">
        <v>630</v>
      </c>
    </row>
    <row r="23" spans="2:16" s="7" customFormat="1" ht="61.5" customHeight="1" thickBot="1">
      <c r="B23" s="13">
        <v>14</v>
      </c>
      <c r="C23" s="14" t="s">
        <v>89</v>
      </c>
      <c r="D23" s="15" t="s">
        <v>103</v>
      </c>
      <c r="E23" s="15" t="s">
        <v>99</v>
      </c>
      <c r="F23" s="15">
        <v>35</v>
      </c>
      <c r="G23" s="15">
        <v>24</v>
      </c>
      <c r="H23" s="15">
        <v>840</v>
      </c>
      <c r="I23" s="15">
        <v>1</v>
      </c>
      <c r="J23" s="15">
        <v>23.44</v>
      </c>
      <c r="K23" s="16">
        <v>0.06</v>
      </c>
      <c r="L23" s="17">
        <v>6</v>
      </c>
      <c r="M23" s="16"/>
      <c r="N23" s="17"/>
      <c r="O23" s="18">
        <v>0.25</v>
      </c>
      <c r="P23" s="19">
        <v>630</v>
      </c>
    </row>
    <row r="24" spans="2:16" s="7" customFormat="1" ht="61.5" customHeight="1" thickBot="1">
      <c r="B24" s="13">
        <v>15</v>
      </c>
      <c r="C24" s="14" t="s">
        <v>89</v>
      </c>
      <c r="D24" s="15" t="s">
        <v>104</v>
      </c>
      <c r="E24" s="15" t="s">
        <v>99</v>
      </c>
      <c r="F24" s="15">
        <v>35</v>
      </c>
      <c r="G24" s="15">
        <v>24</v>
      </c>
      <c r="H24" s="15">
        <v>840</v>
      </c>
      <c r="I24" s="15">
        <v>1</v>
      </c>
      <c r="J24" s="15">
        <v>23.44</v>
      </c>
      <c r="K24" s="16">
        <v>0.06</v>
      </c>
      <c r="L24" s="17">
        <v>6</v>
      </c>
      <c r="M24" s="16"/>
      <c r="N24" s="17"/>
      <c r="O24" s="18">
        <v>0.25</v>
      </c>
      <c r="P24" s="19">
        <v>630</v>
      </c>
    </row>
    <row r="25" spans="2:16" s="7" customFormat="1" ht="61.5" customHeight="1" thickBot="1">
      <c r="B25" s="13">
        <v>16</v>
      </c>
      <c r="C25" s="14" t="s">
        <v>89</v>
      </c>
      <c r="D25" s="15" t="s">
        <v>106</v>
      </c>
      <c r="E25" s="15" t="s">
        <v>107</v>
      </c>
      <c r="F25" s="15">
        <v>55</v>
      </c>
      <c r="G25" s="15">
        <v>45</v>
      </c>
      <c r="H25" s="15">
        <v>2475</v>
      </c>
      <c r="I25" s="15">
        <v>1</v>
      </c>
      <c r="J25" s="15">
        <v>36.840000000000003</v>
      </c>
      <c r="K25" s="16" t="s">
        <v>127</v>
      </c>
      <c r="L25" s="17">
        <v>2.5</v>
      </c>
      <c r="M25" s="16"/>
      <c r="N25" s="17"/>
      <c r="O25" s="18">
        <v>0.25</v>
      </c>
      <c r="P25" s="19">
        <v>1856.25</v>
      </c>
    </row>
    <row r="26" spans="2:16" s="7" customFormat="1" ht="61.5" customHeight="1" thickBot="1">
      <c r="B26" s="13">
        <v>17</v>
      </c>
      <c r="C26" s="14" t="s">
        <v>108</v>
      </c>
      <c r="D26" s="15" t="s">
        <v>109</v>
      </c>
      <c r="E26" s="15" t="s">
        <v>99</v>
      </c>
      <c r="F26" s="15">
        <v>30</v>
      </c>
      <c r="G26" s="15">
        <v>36</v>
      </c>
      <c r="H26" s="15">
        <v>1080</v>
      </c>
      <c r="I26" s="15">
        <v>1</v>
      </c>
      <c r="J26" s="15">
        <v>21.42</v>
      </c>
      <c r="K26" s="16" t="s">
        <v>127</v>
      </c>
      <c r="L26" s="17">
        <v>2.5</v>
      </c>
      <c r="M26" s="16"/>
      <c r="N26" s="17"/>
      <c r="O26" s="18">
        <v>0.25</v>
      </c>
      <c r="P26" s="19">
        <v>810</v>
      </c>
    </row>
    <row r="27" spans="2:16" s="7" customFormat="1" ht="61.5" customHeight="1" thickBot="1">
      <c r="B27" s="13">
        <v>18</v>
      </c>
      <c r="C27" s="14" t="s">
        <v>108</v>
      </c>
      <c r="D27" s="15" t="s">
        <v>110</v>
      </c>
      <c r="E27" s="15" t="s">
        <v>99</v>
      </c>
      <c r="F27" s="15">
        <v>30</v>
      </c>
      <c r="G27" s="15">
        <v>36</v>
      </c>
      <c r="H27" s="15">
        <v>1080</v>
      </c>
      <c r="I27" s="15">
        <v>1</v>
      </c>
      <c r="J27" s="15">
        <v>21.42</v>
      </c>
      <c r="K27" s="16" t="s">
        <v>127</v>
      </c>
      <c r="L27" s="17">
        <v>2.5</v>
      </c>
      <c r="M27" s="16"/>
      <c r="N27" s="17"/>
      <c r="O27" s="18">
        <v>0.25</v>
      </c>
      <c r="P27" s="19">
        <v>810</v>
      </c>
    </row>
    <row r="28" spans="2:16" s="7" customFormat="1" ht="61.5" customHeight="1" thickBot="1">
      <c r="B28" s="13">
        <v>19</v>
      </c>
      <c r="C28" s="14" t="s">
        <v>108</v>
      </c>
      <c r="D28" s="15" t="s">
        <v>111</v>
      </c>
      <c r="E28" s="15" t="s">
        <v>99</v>
      </c>
      <c r="F28" s="15">
        <v>30</v>
      </c>
      <c r="G28" s="15">
        <v>36</v>
      </c>
      <c r="H28" s="15">
        <v>1080</v>
      </c>
      <c r="I28" s="15">
        <v>1</v>
      </c>
      <c r="J28" s="15">
        <v>21.42</v>
      </c>
      <c r="K28" s="16" t="s">
        <v>127</v>
      </c>
      <c r="L28" s="17">
        <v>2.5</v>
      </c>
      <c r="M28" s="16"/>
      <c r="N28" s="17"/>
      <c r="O28" s="18">
        <v>0.25</v>
      </c>
      <c r="P28" s="19">
        <v>810</v>
      </c>
    </row>
    <row r="29" spans="2:16" s="7" customFormat="1" ht="61.5" customHeight="1" thickBot="1">
      <c r="B29" s="13">
        <v>20</v>
      </c>
      <c r="C29" s="14" t="s">
        <v>108</v>
      </c>
      <c r="D29" s="15" t="s">
        <v>112</v>
      </c>
      <c r="E29" s="15" t="s">
        <v>99</v>
      </c>
      <c r="F29" s="15">
        <v>30</v>
      </c>
      <c r="G29" s="15">
        <v>36</v>
      </c>
      <c r="H29" s="15">
        <v>1080</v>
      </c>
      <c r="I29" s="15">
        <v>1</v>
      </c>
      <c r="J29" s="15">
        <v>21.42</v>
      </c>
      <c r="K29" s="16" t="s">
        <v>127</v>
      </c>
      <c r="L29" s="17">
        <v>2.5</v>
      </c>
      <c r="M29" s="16"/>
      <c r="N29" s="17"/>
      <c r="O29" s="18">
        <v>0.25</v>
      </c>
      <c r="P29" s="19">
        <v>810</v>
      </c>
    </row>
    <row r="30" spans="2:16" s="7" customFormat="1" ht="61.5" customHeight="1" thickBot="1">
      <c r="B30" s="13">
        <v>21</v>
      </c>
      <c r="C30" s="14" t="s">
        <v>114</v>
      </c>
      <c r="D30" s="15" t="s">
        <v>115</v>
      </c>
      <c r="E30" s="15" t="s">
        <v>116</v>
      </c>
      <c r="F30" s="15">
        <v>10</v>
      </c>
      <c r="G30" s="15">
        <v>360</v>
      </c>
      <c r="H30" s="15">
        <v>3600</v>
      </c>
      <c r="I30" s="15">
        <v>1</v>
      </c>
      <c r="J30" s="15">
        <v>7.15</v>
      </c>
      <c r="K30" s="16" t="s">
        <v>127</v>
      </c>
      <c r="L30" s="17">
        <v>2.5</v>
      </c>
      <c r="M30" s="16"/>
      <c r="N30" s="17"/>
      <c r="O30" s="18">
        <v>0.25</v>
      </c>
      <c r="P30" s="19">
        <v>2700</v>
      </c>
    </row>
    <row r="31" spans="2:16" s="7" customFormat="1" ht="61.5" customHeight="1" thickBot="1">
      <c r="B31" s="13">
        <v>22</v>
      </c>
      <c r="C31" s="14" t="s">
        <v>114</v>
      </c>
      <c r="D31" s="15" t="s">
        <v>117</v>
      </c>
      <c r="E31" s="15" t="s">
        <v>116</v>
      </c>
      <c r="F31" s="15">
        <v>30</v>
      </c>
      <c r="G31" s="15">
        <v>270</v>
      </c>
      <c r="H31" s="15">
        <v>8100</v>
      </c>
      <c r="I31" s="15">
        <v>1</v>
      </c>
      <c r="J31" s="15">
        <v>21.42</v>
      </c>
      <c r="K31" s="16" t="s">
        <v>127</v>
      </c>
      <c r="L31" s="17">
        <v>2.5</v>
      </c>
      <c r="M31" s="16"/>
      <c r="N31" s="17"/>
      <c r="O31" s="18">
        <v>0.25</v>
      </c>
      <c r="P31" s="19">
        <v>6075</v>
      </c>
    </row>
    <row r="32" spans="2:16" s="7" customFormat="1" ht="61.5" customHeight="1" thickBot="1">
      <c r="B32" s="13">
        <v>23</v>
      </c>
      <c r="C32" s="14" t="s">
        <v>118</v>
      </c>
      <c r="D32" s="43" t="s">
        <v>119</v>
      </c>
      <c r="E32" s="15" t="s">
        <v>120</v>
      </c>
      <c r="F32" s="15">
        <v>50</v>
      </c>
      <c r="G32" s="15">
        <v>180</v>
      </c>
      <c r="H32" s="15">
        <v>9000</v>
      </c>
      <c r="I32" s="15">
        <v>1</v>
      </c>
      <c r="J32" s="15">
        <v>33.479999999999997</v>
      </c>
      <c r="K32" s="16">
        <v>0.06</v>
      </c>
      <c r="L32" s="17">
        <v>6</v>
      </c>
      <c r="M32" s="16"/>
      <c r="N32" s="17"/>
      <c r="O32" s="18">
        <v>0.25</v>
      </c>
      <c r="P32" s="19">
        <v>6750</v>
      </c>
    </row>
    <row r="33" spans="2:16" s="7" customFormat="1" ht="61.5" customHeight="1" thickBot="1">
      <c r="B33" s="13">
        <v>24</v>
      </c>
      <c r="C33" s="14" t="s">
        <v>118</v>
      </c>
      <c r="D33" s="44" t="s">
        <v>121</v>
      </c>
      <c r="E33" s="15" t="s">
        <v>120</v>
      </c>
      <c r="F33" s="15">
        <v>50</v>
      </c>
      <c r="G33" s="15">
        <v>180</v>
      </c>
      <c r="H33" s="15">
        <v>9000</v>
      </c>
      <c r="I33" s="15">
        <v>1</v>
      </c>
      <c r="J33" s="15">
        <v>33.479999999999997</v>
      </c>
      <c r="K33" s="16">
        <v>0.06</v>
      </c>
      <c r="L33" s="17">
        <v>6</v>
      </c>
      <c r="M33" s="16"/>
      <c r="N33" s="17"/>
      <c r="O33" s="18">
        <v>0.25</v>
      </c>
      <c r="P33" s="19">
        <v>6750</v>
      </c>
    </row>
    <row r="34" spans="2:16" s="7" customFormat="1" ht="61.5" customHeight="1" thickBot="1">
      <c r="B34" s="13">
        <v>25</v>
      </c>
      <c r="C34" s="14" t="s">
        <v>118</v>
      </c>
      <c r="D34" s="44" t="s">
        <v>122</v>
      </c>
      <c r="E34" s="15" t="s">
        <v>120</v>
      </c>
      <c r="F34" s="15">
        <v>50</v>
      </c>
      <c r="G34" s="15">
        <v>180</v>
      </c>
      <c r="H34" s="15">
        <v>9000</v>
      </c>
      <c r="I34" s="15">
        <v>1</v>
      </c>
      <c r="J34" s="15">
        <v>33.479999999999997</v>
      </c>
      <c r="K34" s="16">
        <v>0.06</v>
      </c>
      <c r="L34" s="17">
        <v>6</v>
      </c>
      <c r="M34" s="16"/>
      <c r="N34" s="17"/>
      <c r="O34" s="18">
        <v>0.25</v>
      </c>
      <c r="P34" s="19">
        <v>6750</v>
      </c>
    </row>
    <row r="35" spans="2:16" s="7" customFormat="1" ht="61.5" customHeight="1" thickBot="1">
      <c r="B35" s="13">
        <v>26</v>
      </c>
      <c r="C35" s="14" t="s">
        <v>118</v>
      </c>
      <c r="D35" s="15" t="s">
        <v>123</v>
      </c>
      <c r="E35" s="15" t="s">
        <v>124</v>
      </c>
      <c r="F35" s="15">
        <v>25</v>
      </c>
      <c r="G35" s="15">
        <v>200</v>
      </c>
      <c r="H35" s="15">
        <v>5000</v>
      </c>
      <c r="I35" s="15">
        <v>1</v>
      </c>
      <c r="J35" s="15">
        <v>16.739999999999998</v>
      </c>
      <c r="K35" s="16">
        <v>0.06</v>
      </c>
      <c r="L35" s="17">
        <v>6</v>
      </c>
      <c r="M35" s="16"/>
      <c r="N35" s="17"/>
      <c r="O35" s="18">
        <v>0.25</v>
      </c>
      <c r="P35" s="19">
        <v>3750</v>
      </c>
    </row>
    <row r="36" spans="2:16" s="7" customFormat="1" ht="61.5" customHeight="1" thickBot="1">
      <c r="B36" s="13">
        <v>27</v>
      </c>
      <c r="C36" s="14" t="s">
        <v>108</v>
      </c>
      <c r="D36" s="15" t="s">
        <v>128</v>
      </c>
      <c r="E36" s="15" t="s">
        <v>113</v>
      </c>
      <c r="F36" s="15">
        <v>30</v>
      </c>
      <c r="G36" s="15">
        <v>30</v>
      </c>
      <c r="H36" s="15">
        <v>900</v>
      </c>
      <c r="I36" s="15">
        <v>1</v>
      </c>
      <c r="J36" s="15">
        <v>21.42</v>
      </c>
      <c r="K36" s="16" t="s">
        <v>127</v>
      </c>
      <c r="L36" s="17">
        <v>2.5</v>
      </c>
      <c r="M36" s="16"/>
      <c r="N36" s="17"/>
      <c r="O36" s="18">
        <v>0.25</v>
      </c>
      <c r="P36" s="19">
        <v>675</v>
      </c>
    </row>
    <row r="37" spans="2:16" ht="49.5" customHeight="1" thickBot="1">
      <c r="B37" s="92" t="s">
        <v>34</v>
      </c>
      <c r="C37" s="93"/>
      <c r="D37" s="93"/>
      <c r="E37" s="93"/>
      <c r="F37" s="93"/>
      <c r="G37" s="93"/>
      <c r="H37" s="93"/>
      <c r="I37" s="93"/>
      <c r="J37" s="93"/>
      <c r="K37" s="94"/>
      <c r="L37" s="20">
        <f>SUM(L10:L36)</f>
        <v>134</v>
      </c>
      <c r="M37" s="21"/>
      <c r="N37" s="20">
        <f>SUM(N10:N36)</f>
        <v>0</v>
      </c>
      <c r="O37" s="22"/>
      <c r="P37" s="23"/>
    </row>
    <row r="38" spans="2:16" ht="68.25" customHeight="1" thickBot="1">
      <c r="B38" s="95" t="s">
        <v>35</v>
      </c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7"/>
      <c r="P38" s="24">
        <f>SUM(P10:P36)</f>
        <v>48435</v>
      </c>
    </row>
    <row r="39" spans="2:16" s="26" customFormat="1" ht="42.75" customHeight="1" thickBot="1">
      <c r="B39" s="98" t="s">
        <v>36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100"/>
      <c r="P39" s="25"/>
    </row>
    <row r="40" spans="2:16" ht="45.75" customHeight="1">
      <c r="B40" s="101" t="s">
        <v>37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3"/>
    </row>
    <row r="41" spans="2:16" s="27" customFormat="1" ht="34.5" customHeight="1" thickBot="1">
      <c r="B41" s="104" t="s">
        <v>38</v>
      </c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6"/>
    </row>
    <row r="42" spans="2:16" s="27" customFormat="1" ht="34.5" customHeight="1" thickBot="1">
      <c r="B42" s="28">
        <v>1</v>
      </c>
      <c r="C42" s="87" t="s">
        <v>39</v>
      </c>
      <c r="D42" s="88"/>
      <c r="E42" s="87" t="s">
        <v>105</v>
      </c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9"/>
    </row>
    <row r="43" spans="2:16" s="27" customFormat="1" ht="34.5" customHeight="1" thickBot="1">
      <c r="B43" s="28">
        <v>2</v>
      </c>
      <c r="C43" s="87" t="s">
        <v>41</v>
      </c>
      <c r="D43" s="88"/>
      <c r="E43" s="87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9"/>
    </row>
    <row r="44" spans="2:16" s="27" customFormat="1" ht="34.5" customHeight="1" thickBot="1">
      <c r="B44" s="28">
        <v>3</v>
      </c>
      <c r="C44" s="87" t="s">
        <v>43</v>
      </c>
      <c r="D44" s="88"/>
      <c r="E44" s="87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9"/>
    </row>
    <row r="45" spans="2:16" s="27" customFormat="1" ht="34.5" customHeight="1" thickBot="1">
      <c r="B45" s="28">
        <v>4</v>
      </c>
      <c r="C45" s="87" t="s">
        <v>45</v>
      </c>
      <c r="D45" s="88"/>
      <c r="E45" s="87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9"/>
    </row>
    <row r="46" spans="2:16" s="27" customFormat="1" ht="34.5" customHeight="1" thickBot="1">
      <c r="B46" s="28"/>
      <c r="C46" s="87"/>
      <c r="D46" s="88"/>
      <c r="E46" s="87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9"/>
    </row>
    <row r="47" spans="2:16" s="27" customFormat="1" ht="34.5" customHeight="1" thickBot="1">
      <c r="B47" s="28"/>
      <c r="C47" s="87"/>
      <c r="D47" s="88"/>
      <c r="E47" s="87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9"/>
    </row>
    <row r="48" spans="2:16" s="30" customFormat="1" ht="34.5" customHeight="1" thickBot="1">
      <c r="B48" s="110" t="s">
        <v>47</v>
      </c>
      <c r="C48" s="111"/>
      <c r="D48" s="111"/>
      <c r="E48" s="112"/>
      <c r="F48" s="113" t="s">
        <v>5</v>
      </c>
      <c r="G48" s="111"/>
      <c r="H48" s="111"/>
      <c r="I48" s="111"/>
      <c r="J48" s="111"/>
      <c r="K48" s="112"/>
      <c r="L48" s="29"/>
      <c r="M48" s="29"/>
      <c r="N48" s="113" t="s">
        <v>48</v>
      </c>
      <c r="O48" s="111"/>
      <c r="P48" s="114"/>
    </row>
    <row r="49" spans="2:16" ht="26.25" customHeight="1" thickBot="1">
      <c r="B49" s="115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7"/>
    </row>
    <row r="50" spans="2:16" ht="189" customHeight="1" thickBot="1">
      <c r="B50" s="118" t="s">
        <v>80</v>
      </c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20"/>
    </row>
  </sheetData>
  <mergeCells count="48">
    <mergeCell ref="B49:P49"/>
    <mergeCell ref="B50:P50"/>
    <mergeCell ref="C47:D47"/>
    <mergeCell ref="E47:P47"/>
    <mergeCell ref="B48:E48"/>
    <mergeCell ref="F48:K48"/>
    <mergeCell ref="N48:P48"/>
    <mergeCell ref="F8:K8"/>
    <mergeCell ref="C45:D45"/>
    <mergeCell ref="E45:P45"/>
    <mergeCell ref="C46:D46"/>
    <mergeCell ref="E46:P46"/>
    <mergeCell ref="C44:D44"/>
    <mergeCell ref="E44:P44"/>
    <mergeCell ref="K9:L9"/>
    <mergeCell ref="M9:N9"/>
    <mergeCell ref="B37:K37"/>
    <mergeCell ref="B38:O38"/>
    <mergeCell ref="B39:O39"/>
    <mergeCell ref="B40:P40"/>
    <mergeCell ref="B41:P41"/>
    <mergeCell ref="C42:D42"/>
    <mergeCell ref="E42:P42"/>
    <mergeCell ref="C43:D43"/>
    <mergeCell ref="E43:P43"/>
    <mergeCell ref="L8:M8"/>
    <mergeCell ref="N8:P8"/>
    <mergeCell ref="B4:C4"/>
    <mergeCell ref="D4:E4"/>
    <mergeCell ref="G4:K4"/>
    <mergeCell ref="L4:M4"/>
    <mergeCell ref="N4:O4"/>
    <mergeCell ref="B5:C5"/>
    <mergeCell ref="D5:M5"/>
    <mergeCell ref="N5:O5"/>
    <mergeCell ref="B6:P6"/>
    <mergeCell ref="B7:E7"/>
    <mergeCell ref="F7:K7"/>
    <mergeCell ref="L7:M7"/>
    <mergeCell ref="N7:P7"/>
    <mergeCell ref="B8:E8"/>
    <mergeCell ref="B1:P1"/>
    <mergeCell ref="B2:P2"/>
    <mergeCell ref="B3:C3"/>
    <mergeCell ref="D3:E3"/>
    <mergeCell ref="G3:K3"/>
    <mergeCell ref="L3:M3"/>
    <mergeCell ref="N3:O3"/>
  </mergeCells>
  <hyperlinks>
    <hyperlink ref="D3" r:id="rId1" xr:uid="{00000000-0004-0000-0000-000000000000}"/>
  </hyperlinks>
  <pageMargins left="0.22" right="0.28000000000000003" top="0.54" bottom="0.7" header="0.3" footer="0.3"/>
  <pageSetup paperSize="9" scale="3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2"/>
  <sheetViews>
    <sheetView workbookViewId="0">
      <selection activeCell="H12" sqref="H12"/>
    </sheetView>
  </sheetViews>
  <sheetFormatPr defaultRowHeight="15"/>
  <cols>
    <col min="2" max="2" width="9.42578125" bestFit="1" customWidth="1"/>
    <col min="3" max="3" width="13.28515625" customWidth="1"/>
    <col min="4" max="4" width="18" customWidth="1"/>
    <col min="5" max="5" width="12.7109375" customWidth="1"/>
    <col min="6" max="6" width="13.85546875" customWidth="1"/>
    <col min="7" max="8" width="9.42578125" bestFit="1" customWidth="1"/>
    <col min="9" max="9" width="10.28515625" customWidth="1"/>
    <col min="10" max="10" width="15.7109375" customWidth="1"/>
    <col min="11" max="11" width="15.85546875" customWidth="1"/>
    <col min="12" max="12" width="17" customWidth="1"/>
    <col min="13" max="13" width="15.42578125" customWidth="1"/>
    <col min="14" max="14" width="16.42578125" customWidth="1"/>
    <col min="15" max="15" width="13" customWidth="1"/>
    <col min="16" max="16" width="25.28515625" customWidth="1"/>
  </cols>
  <sheetData>
    <row r="1" spans="2:16" ht="33.75" thickBot="1">
      <c r="B1" s="45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2:16" ht="23.25" thickBot="1">
      <c r="B2" s="48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</row>
    <row r="3" spans="2:16" s="3" customFormat="1" ht="36.75" thickBot="1">
      <c r="B3" s="51" t="s">
        <v>2</v>
      </c>
      <c r="C3" s="52"/>
      <c r="D3" s="53" t="s">
        <v>3</v>
      </c>
      <c r="E3" s="54"/>
      <c r="F3" s="1" t="s">
        <v>4</v>
      </c>
      <c r="G3" s="55" t="s">
        <v>5</v>
      </c>
      <c r="H3" s="56"/>
      <c r="I3" s="56"/>
      <c r="J3" s="56"/>
      <c r="K3" s="57"/>
      <c r="L3" s="58" t="s">
        <v>6</v>
      </c>
      <c r="M3" s="59"/>
      <c r="N3" s="58" t="s">
        <v>7</v>
      </c>
      <c r="O3" s="59"/>
      <c r="P3" s="2" t="s">
        <v>8</v>
      </c>
    </row>
    <row r="4" spans="2:16" s="3" customFormat="1" ht="19.5" thickBot="1">
      <c r="B4" s="51" t="s">
        <v>9</v>
      </c>
      <c r="C4" s="52"/>
      <c r="D4" s="65" t="s">
        <v>10</v>
      </c>
      <c r="E4" s="52"/>
      <c r="F4" s="4" t="s">
        <v>11</v>
      </c>
      <c r="G4" s="66">
        <v>45443</v>
      </c>
      <c r="H4" s="67"/>
      <c r="I4" s="67"/>
      <c r="J4" s="67"/>
      <c r="K4" s="68"/>
      <c r="L4" s="69">
        <v>9981865431</v>
      </c>
      <c r="M4" s="59"/>
      <c r="N4" s="70" t="s">
        <v>12</v>
      </c>
      <c r="O4" s="71"/>
      <c r="P4" s="5" t="s">
        <v>13</v>
      </c>
    </row>
    <row r="5" spans="2:16" s="7" customFormat="1" ht="29.25" thickBot="1">
      <c r="B5" s="51" t="s">
        <v>14</v>
      </c>
      <c r="C5" s="52"/>
      <c r="D5" s="75" t="s">
        <v>15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" t="s">
        <v>16</v>
      </c>
    </row>
    <row r="6" spans="2:16" ht="57.75" customHeight="1">
      <c r="B6" s="121" t="s">
        <v>17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3"/>
    </row>
    <row r="7" spans="2:16" s="8" customFormat="1" ht="15.75" thickBot="1">
      <c r="B7" s="124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6"/>
    </row>
    <row r="8" spans="2:16" s="8" customFormat="1" ht="15.75" thickBot="1">
      <c r="B8" s="107" t="s">
        <v>18</v>
      </c>
      <c r="C8" s="108"/>
      <c r="D8" s="108"/>
      <c r="E8" s="109"/>
      <c r="F8" s="60" t="s">
        <v>19</v>
      </c>
      <c r="G8" s="83"/>
      <c r="H8" s="83"/>
      <c r="I8" s="83"/>
      <c r="J8" s="83"/>
      <c r="K8" s="61"/>
      <c r="L8" s="60" t="s">
        <v>2</v>
      </c>
      <c r="M8" s="61"/>
      <c r="N8" s="62" t="s">
        <v>20</v>
      </c>
      <c r="O8" s="63"/>
      <c r="P8" s="64"/>
    </row>
    <row r="9" spans="2:16" s="12" customFormat="1" ht="75.75" thickBot="1">
      <c r="B9" s="9" t="s">
        <v>21</v>
      </c>
      <c r="C9" s="10" t="s">
        <v>22</v>
      </c>
      <c r="D9" s="10" t="s">
        <v>23</v>
      </c>
      <c r="E9" s="10" t="s">
        <v>24</v>
      </c>
      <c r="F9" s="10" t="s">
        <v>25</v>
      </c>
      <c r="G9" s="10" t="s">
        <v>26</v>
      </c>
      <c r="H9" s="10" t="s">
        <v>27</v>
      </c>
      <c r="I9" s="10" t="s">
        <v>28</v>
      </c>
      <c r="J9" s="10" t="s">
        <v>29</v>
      </c>
      <c r="K9" s="90" t="s">
        <v>30</v>
      </c>
      <c r="L9" s="91"/>
      <c r="M9" s="90" t="s">
        <v>31</v>
      </c>
      <c r="N9" s="91"/>
      <c r="O9" s="10" t="s">
        <v>32</v>
      </c>
      <c r="P9" s="11" t="s">
        <v>33</v>
      </c>
    </row>
    <row r="10" spans="2:16" s="7" customFormat="1" ht="29.25" thickBot="1">
      <c r="B10" s="13">
        <v>1</v>
      </c>
      <c r="C10" s="38" t="s">
        <v>66</v>
      </c>
      <c r="D10" s="39" t="s">
        <v>67</v>
      </c>
      <c r="E10" s="39" t="s">
        <v>68</v>
      </c>
      <c r="F10" s="39">
        <v>20</v>
      </c>
      <c r="G10" s="39" t="s">
        <v>69</v>
      </c>
      <c r="H10" s="39">
        <v>525</v>
      </c>
      <c r="I10" s="15">
        <v>1</v>
      </c>
      <c r="J10" s="15">
        <v>571.42999999999995</v>
      </c>
      <c r="K10" s="16">
        <v>0.28000000000000003</v>
      </c>
      <c r="L10" s="17">
        <f>J10*K10</f>
        <v>160.00040000000001</v>
      </c>
      <c r="M10" s="16">
        <v>0.12</v>
      </c>
      <c r="N10" s="17">
        <f>J10*M10</f>
        <v>68.571599999999989</v>
      </c>
      <c r="O10" s="18">
        <v>0.16669999999999999</v>
      </c>
      <c r="P10" s="19">
        <f>J10+L10+N10</f>
        <v>800.00199999999995</v>
      </c>
    </row>
    <row r="11" spans="2:16" s="7" customFormat="1" ht="29.25" thickBot="1">
      <c r="B11" s="13">
        <v>2</v>
      </c>
      <c r="C11" s="38" t="s">
        <v>66</v>
      </c>
      <c r="D11" s="39" t="s">
        <v>70</v>
      </c>
      <c r="E11" s="39" t="s">
        <v>68</v>
      </c>
      <c r="F11" s="39">
        <v>20</v>
      </c>
      <c r="G11" s="39" t="s">
        <v>69</v>
      </c>
      <c r="H11" s="39">
        <v>525</v>
      </c>
      <c r="I11" s="15">
        <v>1</v>
      </c>
      <c r="J11" s="15">
        <v>571.42999999999995</v>
      </c>
      <c r="K11" s="16">
        <v>0.28000000000000003</v>
      </c>
      <c r="L11" s="17">
        <f t="shared" ref="L11:L19" si="0">J11*K11</f>
        <v>160.00040000000001</v>
      </c>
      <c r="M11" s="16">
        <v>0.12</v>
      </c>
      <c r="N11" s="17">
        <f t="shared" ref="N11:N19" si="1">J11*M11</f>
        <v>68.571599999999989</v>
      </c>
      <c r="O11" s="18">
        <v>0.16669999999999999</v>
      </c>
      <c r="P11" s="19">
        <f t="shared" ref="P11:P19" si="2">J11+L11+N11</f>
        <v>800.00199999999995</v>
      </c>
    </row>
    <row r="12" spans="2:16" s="7" customFormat="1" ht="29.25" thickBot="1">
      <c r="B12" s="13">
        <v>3</v>
      </c>
      <c r="C12" s="38" t="s">
        <v>66</v>
      </c>
      <c r="D12" s="39" t="s">
        <v>71</v>
      </c>
      <c r="E12" s="39" t="s">
        <v>68</v>
      </c>
      <c r="F12" s="39">
        <v>15</v>
      </c>
      <c r="G12" s="39" t="s">
        <v>69</v>
      </c>
      <c r="H12" s="39">
        <v>400</v>
      </c>
      <c r="I12" s="15">
        <v>1</v>
      </c>
      <c r="J12" s="15">
        <v>571.42999999999995</v>
      </c>
      <c r="K12" s="16">
        <v>0.28000000000000003</v>
      </c>
      <c r="L12" s="17">
        <f t="shared" si="0"/>
        <v>160.00040000000001</v>
      </c>
      <c r="M12" s="16">
        <v>0.12</v>
      </c>
      <c r="N12" s="17">
        <f t="shared" si="1"/>
        <v>68.571599999999989</v>
      </c>
      <c r="O12" s="18">
        <v>0.16669999999999999</v>
      </c>
      <c r="P12" s="19">
        <f t="shared" si="2"/>
        <v>800.00199999999995</v>
      </c>
    </row>
    <row r="13" spans="2:16" s="7" customFormat="1" ht="19.5" thickBot="1">
      <c r="B13" s="13">
        <v>4</v>
      </c>
      <c r="C13" s="38" t="s">
        <v>66</v>
      </c>
      <c r="D13" s="39" t="s">
        <v>72</v>
      </c>
      <c r="E13" s="39" t="s">
        <v>68</v>
      </c>
      <c r="F13" s="39">
        <v>35</v>
      </c>
      <c r="G13" s="39" t="s">
        <v>73</v>
      </c>
      <c r="H13" s="39">
        <v>720</v>
      </c>
      <c r="I13" s="15">
        <v>1</v>
      </c>
      <c r="J13" s="15">
        <v>571.42999999999995</v>
      </c>
      <c r="K13" s="16">
        <v>0.28000000000000003</v>
      </c>
      <c r="L13" s="17">
        <f t="shared" si="0"/>
        <v>160.00040000000001</v>
      </c>
      <c r="M13" s="16">
        <v>0.12</v>
      </c>
      <c r="N13" s="17">
        <f t="shared" si="1"/>
        <v>68.571599999999989</v>
      </c>
      <c r="O13" s="18">
        <v>0.16669999999999999</v>
      </c>
      <c r="P13" s="19">
        <f t="shared" si="2"/>
        <v>800.00199999999995</v>
      </c>
    </row>
    <row r="14" spans="2:16" s="7" customFormat="1" ht="19.5" thickBot="1">
      <c r="B14" s="13">
        <v>5</v>
      </c>
      <c r="C14" s="38" t="s">
        <v>66</v>
      </c>
      <c r="D14" s="40" t="s">
        <v>74</v>
      </c>
      <c r="E14" s="39" t="s">
        <v>68</v>
      </c>
      <c r="F14" s="39">
        <v>35</v>
      </c>
      <c r="G14" s="39" t="s">
        <v>73</v>
      </c>
      <c r="H14" s="39">
        <v>720</v>
      </c>
      <c r="I14" s="15">
        <v>1</v>
      </c>
      <c r="J14" s="15">
        <v>571.42999999999995</v>
      </c>
      <c r="K14" s="16">
        <v>0.28000000000000003</v>
      </c>
      <c r="L14" s="17">
        <f t="shared" si="0"/>
        <v>160.00040000000001</v>
      </c>
      <c r="M14" s="16">
        <v>0.12</v>
      </c>
      <c r="N14" s="17">
        <f t="shared" si="1"/>
        <v>68.571599999999989</v>
      </c>
      <c r="O14" s="18">
        <v>0.16669999999999999</v>
      </c>
      <c r="P14" s="19">
        <f t="shared" si="2"/>
        <v>800.00199999999995</v>
      </c>
    </row>
    <row r="15" spans="2:16" s="7" customFormat="1" ht="19.5" thickBot="1">
      <c r="B15" s="13"/>
      <c r="C15" s="38" t="s">
        <v>66</v>
      </c>
      <c r="D15" s="40" t="s">
        <v>75</v>
      </c>
      <c r="E15" s="39" t="s">
        <v>68</v>
      </c>
      <c r="F15" s="39">
        <v>15</v>
      </c>
      <c r="G15" s="39" t="s">
        <v>69</v>
      </c>
      <c r="H15" s="39">
        <v>400</v>
      </c>
      <c r="I15" s="15">
        <v>1</v>
      </c>
      <c r="J15" s="15"/>
      <c r="K15" s="16"/>
      <c r="L15" s="17"/>
      <c r="M15" s="16"/>
      <c r="N15" s="17"/>
      <c r="O15" s="18"/>
      <c r="P15" s="19"/>
    </row>
    <row r="16" spans="2:16" s="7" customFormat="1" ht="19.5" thickBot="1">
      <c r="B16" s="13"/>
      <c r="C16" s="38" t="s">
        <v>66</v>
      </c>
      <c r="D16" s="41" t="s">
        <v>76</v>
      </c>
      <c r="E16" s="39" t="s">
        <v>68</v>
      </c>
      <c r="F16" s="39">
        <v>5</v>
      </c>
      <c r="G16" s="39" t="s">
        <v>69</v>
      </c>
      <c r="H16" s="39">
        <v>165</v>
      </c>
      <c r="I16" s="15">
        <v>1</v>
      </c>
      <c r="J16" s="15"/>
      <c r="K16" s="16"/>
      <c r="L16" s="17"/>
      <c r="M16" s="16"/>
      <c r="N16" s="17"/>
      <c r="O16" s="18"/>
      <c r="P16" s="19"/>
    </row>
    <row r="17" spans="2:16" s="7" customFormat="1" ht="26.25" thickBot="1">
      <c r="B17" s="13"/>
      <c r="C17" s="38" t="s">
        <v>66</v>
      </c>
      <c r="D17" s="41" t="s">
        <v>77</v>
      </c>
      <c r="E17" s="39" t="s">
        <v>68</v>
      </c>
      <c r="F17" s="39">
        <v>20</v>
      </c>
      <c r="G17" s="39" t="s">
        <v>69</v>
      </c>
      <c r="H17" s="39">
        <v>535</v>
      </c>
      <c r="I17" s="15">
        <v>1</v>
      </c>
      <c r="J17" s="15"/>
      <c r="K17" s="16"/>
      <c r="L17" s="17"/>
      <c r="M17" s="16"/>
      <c r="N17" s="17"/>
      <c r="O17" s="18"/>
      <c r="P17" s="19"/>
    </row>
    <row r="18" spans="2:16" s="7" customFormat="1" ht="19.5" thickBot="1">
      <c r="B18" s="13"/>
      <c r="C18" s="38" t="s">
        <v>66</v>
      </c>
      <c r="D18" s="41" t="s">
        <v>78</v>
      </c>
      <c r="E18" s="39" t="s">
        <v>68</v>
      </c>
      <c r="F18" s="39">
        <v>20</v>
      </c>
      <c r="G18" s="39" t="s">
        <v>69</v>
      </c>
      <c r="H18" s="39">
        <v>535</v>
      </c>
      <c r="I18" s="15">
        <v>1</v>
      </c>
      <c r="J18" s="15"/>
      <c r="K18" s="16"/>
      <c r="L18" s="17"/>
      <c r="M18" s="16"/>
      <c r="N18" s="17"/>
      <c r="O18" s="18"/>
      <c r="P18" s="19"/>
    </row>
    <row r="19" spans="2:16" s="7" customFormat="1" ht="19.5" thickBot="1">
      <c r="B19" s="13">
        <v>6</v>
      </c>
      <c r="C19" s="38" t="s">
        <v>66</v>
      </c>
      <c r="D19" s="41" t="s">
        <v>79</v>
      </c>
      <c r="E19" s="39" t="s">
        <v>68</v>
      </c>
      <c r="F19" s="39">
        <v>20</v>
      </c>
      <c r="G19" s="39" t="s">
        <v>69</v>
      </c>
      <c r="H19" s="39">
        <v>535</v>
      </c>
      <c r="I19" s="15">
        <v>1</v>
      </c>
      <c r="J19" s="15">
        <v>1607.14</v>
      </c>
      <c r="K19" s="16">
        <v>0.28000000000000003</v>
      </c>
      <c r="L19" s="17">
        <f t="shared" si="0"/>
        <v>449.99920000000009</v>
      </c>
      <c r="M19" s="16">
        <v>0.12</v>
      </c>
      <c r="N19" s="17">
        <f t="shared" si="1"/>
        <v>192.85679999999999</v>
      </c>
      <c r="O19" s="18">
        <v>0.21879999999999999</v>
      </c>
      <c r="P19" s="19">
        <f t="shared" si="2"/>
        <v>2249.9960000000001</v>
      </c>
    </row>
    <row r="20" spans="2:16" ht="23.25" thickBot="1">
      <c r="B20" s="92" t="s">
        <v>34</v>
      </c>
      <c r="C20" s="93"/>
      <c r="D20" s="93"/>
      <c r="E20" s="93"/>
      <c r="F20" s="93"/>
      <c r="G20" s="93"/>
      <c r="H20" s="93"/>
      <c r="I20" s="93"/>
      <c r="J20" s="93"/>
      <c r="K20" s="94"/>
      <c r="L20" s="20">
        <f>SUM(L10:L19)</f>
        <v>1250.0012000000002</v>
      </c>
      <c r="M20" s="21"/>
      <c r="N20" s="20">
        <f>SUM(N10:N19)</f>
        <v>535.71479999999997</v>
      </c>
      <c r="O20" s="22"/>
      <c r="P20" s="23"/>
    </row>
    <row r="21" spans="2:16" ht="27.75" thickBot="1">
      <c r="B21" s="95" t="s">
        <v>35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7"/>
      <c r="P21" s="24">
        <f>SUM(P10:P19)</f>
        <v>6250.0059999999994</v>
      </c>
    </row>
    <row r="22" spans="2:16" s="26" customFormat="1" ht="27" thickBot="1">
      <c r="B22" s="98" t="s">
        <v>36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100"/>
      <c r="P22" s="25"/>
    </row>
    <row r="23" spans="2:16" ht="26.25">
      <c r="B23" s="101" t="s">
        <v>37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3"/>
    </row>
    <row r="24" spans="2:16" s="27" customFormat="1" ht="21.75" thickBot="1">
      <c r="B24" s="104" t="s">
        <v>38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6"/>
    </row>
    <row r="25" spans="2:16" s="27" customFormat="1" ht="21.75" thickBot="1">
      <c r="B25" s="28">
        <v>1</v>
      </c>
      <c r="C25" s="87" t="s">
        <v>39</v>
      </c>
      <c r="D25" s="88"/>
      <c r="E25" s="87" t="s">
        <v>40</v>
      </c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9"/>
    </row>
    <row r="26" spans="2:16" s="27" customFormat="1" ht="21.75" thickBot="1">
      <c r="B26" s="28">
        <v>2</v>
      </c>
      <c r="C26" s="87" t="s">
        <v>41</v>
      </c>
      <c r="D26" s="88"/>
      <c r="E26" s="87" t="s">
        <v>42</v>
      </c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9"/>
    </row>
    <row r="27" spans="2:16" s="27" customFormat="1" ht="21.75" thickBot="1">
      <c r="B27" s="28">
        <v>3</v>
      </c>
      <c r="C27" s="87" t="s">
        <v>43</v>
      </c>
      <c r="D27" s="88"/>
      <c r="E27" s="87" t="s">
        <v>44</v>
      </c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9"/>
    </row>
    <row r="28" spans="2:16" s="27" customFormat="1" ht="21.75" thickBot="1">
      <c r="B28" s="28">
        <v>4</v>
      </c>
      <c r="C28" s="87" t="s">
        <v>45</v>
      </c>
      <c r="D28" s="88"/>
      <c r="E28" s="87" t="s">
        <v>46</v>
      </c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9"/>
    </row>
    <row r="29" spans="2:16" s="27" customFormat="1" ht="21.75" thickBot="1">
      <c r="B29" s="28"/>
      <c r="C29" s="87"/>
      <c r="D29" s="88"/>
      <c r="E29" s="87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9"/>
    </row>
    <row r="30" spans="2:16" s="27" customFormat="1" ht="21.75" thickBot="1">
      <c r="B30" s="28"/>
      <c r="C30" s="87"/>
      <c r="D30" s="88"/>
      <c r="E30" s="87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9"/>
    </row>
    <row r="31" spans="2:16" s="30" customFormat="1" ht="21.75" thickBot="1">
      <c r="B31" s="110" t="s">
        <v>47</v>
      </c>
      <c r="C31" s="111"/>
      <c r="D31" s="111"/>
      <c r="E31" s="112"/>
      <c r="F31" s="113" t="s">
        <v>5</v>
      </c>
      <c r="G31" s="111"/>
      <c r="H31" s="111"/>
      <c r="I31" s="111"/>
      <c r="J31" s="111"/>
      <c r="K31" s="112"/>
      <c r="L31" s="29"/>
      <c r="M31" s="29"/>
      <c r="N31" s="113" t="s">
        <v>48</v>
      </c>
      <c r="O31" s="111"/>
      <c r="P31" s="114"/>
    </row>
    <row r="32" spans="2:16" ht="15.75" thickBot="1">
      <c r="B32" s="115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7"/>
    </row>
    <row r="33" spans="2:16" ht="23.25" thickBot="1">
      <c r="B33" s="118" t="s">
        <v>49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20"/>
    </row>
    <row r="34" spans="2:16" ht="15.75" thickBot="1">
      <c r="B34" s="132" t="s">
        <v>50</v>
      </c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4"/>
    </row>
    <row r="35" spans="2:16" s="7" customFormat="1" ht="19.5" thickBot="1">
      <c r="B35" s="31"/>
      <c r="C35" s="135" t="s">
        <v>51</v>
      </c>
      <c r="D35" s="136"/>
      <c r="E35" s="137" t="s">
        <v>52</v>
      </c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9"/>
    </row>
    <row r="36" spans="2:16" s="7" customFormat="1" ht="19.5" thickBot="1">
      <c r="B36" s="31"/>
      <c r="C36" s="127" t="s">
        <v>53</v>
      </c>
      <c r="D36" s="128"/>
      <c r="E36" s="129" t="s">
        <v>54</v>
      </c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1"/>
    </row>
    <row r="37" spans="2:16" s="7" customFormat="1" ht="19.5" thickBot="1">
      <c r="B37" s="31"/>
      <c r="C37" s="127" t="s">
        <v>55</v>
      </c>
      <c r="D37" s="128"/>
      <c r="E37" s="140">
        <v>6250</v>
      </c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2"/>
    </row>
    <row r="38" spans="2:16" s="7" customFormat="1" ht="19.5" thickBot="1">
      <c r="B38" s="31"/>
      <c r="C38" s="127" t="s">
        <v>56</v>
      </c>
      <c r="D38" s="128"/>
      <c r="E38" s="129" t="s">
        <v>57</v>
      </c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1"/>
    </row>
    <row r="39" spans="2:16" s="7" customFormat="1" ht="19.5" thickBot="1">
      <c r="B39" s="31"/>
      <c r="C39" s="143" t="s">
        <v>58</v>
      </c>
      <c r="D39" s="144"/>
      <c r="E39" s="145" t="s">
        <v>59</v>
      </c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7"/>
    </row>
    <row r="40" spans="2:16" s="7" customFormat="1" ht="19.5" thickBot="1">
      <c r="B40" s="148" t="s">
        <v>60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50"/>
    </row>
    <row r="41" spans="2:16" s="36" customFormat="1" ht="19.5" thickBot="1">
      <c r="B41" s="33"/>
      <c r="C41" s="145" t="s">
        <v>61</v>
      </c>
      <c r="D41" s="151"/>
      <c r="E41" s="145"/>
      <c r="F41" s="151"/>
      <c r="G41" s="32"/>
      <c r="H41" s="32"/>
      <c r="I41" s="32"/>
      <c r="J41" s="145" t="s">
        <v>62</v>
      </c>
      <c r="K41" s="146"/>
      <c r="L41" s="146"/>
      <c r="M41" s="146"/>
      <c r="N41" s="151"/>
      <c r="O41" s="34"/>
      <c r="P41" s="35" t="s">
        <v>63</v>
      </c>
    </row>
    <row r="42" spans="2:16" s="7" customFormat="1" ht="19.5" thickBot="1">
      <c r="B42" s="152" t="s">
        <v>64</v>
      </c>
      <c r="C42" s="153"/>
      <c r="D42" s="153"/>
      <c r="E42" s="154"/>
      <c r="F42" s="155"/>
      <c r="G42" s="153"/>
      <c r="H42" s="153"/>
      <c r="I42" s="153"/>
      <c r="J42" s="153"/>
      <c r="K42" s="154"/>
      <c r="L42" s="37"/>
      <c r="M42" s="37"/>
      <c r="N42" s="155" t="s">
        <v>65</v>
      </c>
      <c r="O42" s="153"/>
      <c r="P42" s="156"/>
    </row>
  </sheetData>
  <mergeCells count="61">
    <mergeCell ref="B40:P40"/>
    <mergeCell ref="C41:D41"/>
    <mergeCell ref="E41:F41"/>
    <mergeCell ref="J41:N41"/>
    <mergeCell ref="B42:E42"/>
    <mergeCell ref="F42:K42"/>
    <mergeCell ref="N42:P42"/>
    <mergeCell ref="C37:D37"/>
    <mergeCell ref="E37:P37"/>
    <mergeCell ref="C38:D38"/>
    <mergeCell ref="E38:P38"/>
    <mergeCell ref="C39:D39"/>
    <mergeCell ref="E39:P39"/>
    <mergeCell ref="C36:D36"/>
    <mergeCell ref="E36:P36"/>
    <mergeCell ref="C29:D29"/>
    <mergeCell ref="E29:P29"/>
    <mergeCell ref="C30:D30"/>
    <mergeCell ref="E30:P30"/>
    <mergeCell ref="B31:E31"/>
    <mergeCell ref="F31:K31"/>
    <mergeCell ref="N31:P31"/>
    <mergeCell ref="B32:P32"/>
    <mergeCell ref="B33:P33"/>
    <mergeCell ref="B34:P34"/>
    <mergeCell ref="C35:D35"/>
    <mergeCell ref="E35:P35"/>
    <mergeCell ref="C26:D26"/>
    <mergeCell ref="E26:P26"/>
    <mergeCell ref="C27:D27"/>
    <mergeCell ref="E27:P27"/>
    <mergeCell ref="C28:D28"/>
    <mergeCell ref="E28:P28"/>
    <mergeCell ref="C25:D25"/>
    <mergeCell ref="E25:P25"/>
    <mergeCell ref="B6:P7"/>
    <mergeCell ref="B8:E8"/>
    <mergeCell ref="F8:K8"/>
    <mergeCell ref="L8:M8"/>
    <mergeCell ref="N8:P8"/>
    <mergeCell ref="K9:L9"/>
    <mergeCell ref="M9:N9"/>
    <mergeCell ref="B20:K20"/>
    <mergeCell ref="B21:O21"/>
    <mergeCell ref="B22:O22"/>
    <mergeCell ref="B23:P23"/>
    <mergeCell ref="B24:P24"/>
    <mergeCell ref="B5:C5"/>
    <mergeCell ref="D5:O5"/>
    <mergeCell ref="B1:P1"/>
    <mergeCell ref="B2:P2"/>
    <mergeCell ref="B3:C3"/>
    <mergeCell ref="D3:E3"/>
    <mergeCell ref="G3:K3"/>
    <mergeCell ref="L3:M3"/>
    <mergeCell ref="N3:O3"/>
    <mergeCell ref="B4:C4"/>
    <mergeCell ref="D4:E4"/>
    <mergeCell ref="G4:K4"/>
    <mergeCell ref="L4:M4"/>
    <mergeCell ref="N4:O4"/>
  </mergeCells>
  <hyperlinks>
    <hyperlink ref="D3" r:id="rId1" xr:uid="{00000000-0004-0000-0100-000000000000}"/>
    <hyperlink ref="N8" r:id="rId2" xr:uid="{00000000-0004-0000-01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paper boat</vt:lpstr>
      <vt:lpstr>Sheet1</vt:lpstr>
      <vt:lpstr>'paper boat'!Print_Area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Innovative</dc:creator>
  <cp:lastModifiedBy>Adhiraj</cp:lastModifiedBy>
  <dcterms:created xsi:type="dcterms:W3CDTF">2024-05-31T11:19:34Z</dcterms:created>
  <dcterms:modified xsi:type="dcterms:W3CDTF">2024-06-04T10:22:32Z</dcterms:modified>
</cp:coreProperties>
</file>